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D308\EXCELCNV\00f677ac-2fd2-4566-bcae-96d9ec582a99\"/>
    </mc:Choice>
  </mc:AlternateContent>
  <xr:revisionPtr revIDLastSave="0" documentId="8_{6EA99AB6-243A-4CAE-89DC-2E28174F23B1}" xr6:coauthVersionLast="47" xr6:coauthVersionMax="47" xr10:uidLastSave="{00000000-0000-0000-0000-000000000000}"/>
  <bookViews>
    <workbookView xWindow="-60" yWindow="-60" windowWidth="15480" windowHeight="11640" activeTab="2" xr2:uid="{8623AF4A-2F2F-494B-B151-836AB728C384}"/>
  </bookViews>
  <sheets>
    <sheet name="01_Executive_Summary" sheetId="3" r:id="rId1"/>
    <sheet name="02_Cohort_Analytics" sheetId="2" r:id="rId2"/>
    <sheet name="03_Data_Engine" sheetId="1" r:id="rId3"/>
    <sheet name="04_Documentation" sheetId="4" r:id="rId4"/>
  </sheets>
  <definedNames>
    <definedName name="Slicer_Contract_Type">#N/A</definedName>
    <definedName name="Slicer_Industry">#N/A</definedName>
    <definedName name="Slicer_region">#N/A</definedName>
  </definedNames>
  <calcPr calcId="191028"/>
  <pivotCaches>
    <pivotCache cacheId="44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D6" i="3"/>
  <c r="A6" i="3"/>
  <c r="O2" i="1" a="1"/>
  <c r="O3" i="1" a="1"/>
  <c r="P3" i="1" s="1" a="1"/>
  <c r="O4" i="1" a="1"/>
  <c r="P4" i="1" s="1" a="1"/>
  <c r="O5" i="1" a="1"/>
  <c r="P5" i="1" s="1" a="1"/>
  <c r="O6" i="1" a="1"/>
  <c r="P6" i="1" s="1" a="1"/>
  <c r="O7" i="1" a="1"/>
  <c r="P7" i="1" s="1" a="1"/>
  <c r="O8" i="1" a="1"/>
  <c r="P8" i="1" s="1" a="1"/>
  <c r="O9" i="1" a="1"/>
  <c r="P9" i="1" s="1" a="1"/>
  <c r="O10" i="1" a="1"/>
  <c r="P10" i="1" s="1" a="1"/>
  <c r="O11" i="1" a="1"/>
  <c r="P11" i="1" s="1" a="1"/>
  <c r="O12" i="1" a="1"/>
  <c r="P12" i="1" s="1" a="1"/>
  <c r="O13" i="1" a="1"/>
  <c r="P13" i="1" s="1" a="1"/>
  <c r="O14" i="1" a="1"/>
  <c r="P14" i="1" s="1" a="1"/>
  <c r="O15" i="1" a="1"/>
  <c r="P15" i="1" s="1" a="1"/>
  <c r="O16" i="1" a="1"/>
  <c r="P16" i="1" s="1" a="1"/>
  <c r="O17" i="1" a="1"/>
  <c r="P17" i="1" s="1" a="1"/>
  <c r="O18" i="1" a="1"/>
  <c r="P18" i="1" s="1" a="1"/>
  <c r="O19" i="1" a="1"/>
  <c r="P19" i="1" s="1" a="1"/>
  <c r="O20" i="1" a="1"/>
  <c r="P20" i="1" s="1" a="1"/>
  <c r="O21" i="1" a="1"/>
  <c r="P21" i="1" s="1" a="1"/>
  <c r="O22" i="1" a="1"/>
  <c r="P22" i="1" s="1" a="1"/>
  <c r="O23" i="1" a="1"/>
  <c r="P23" i="1" s="1" a="1"/>
  <c r="O24" i="1" a="1"/>
  <c r="P24" i="1" s="1" a="1"/>
  <c r="O25" i="1" a="1"/>
  <c r="P25" i="1" s="1" a="1"/>
  <c r="O26" i="1" a="1"/>
  <c r="P26" i="1" s="1" a="1"/>
  <c r="O27" i="1" a="1"/>
  <c r="P27" i="1" s="1" a="1"/>
  <c r="O28" i="1" a="1"/>
  <c r="P28" i="1" s="1" a="1"/>
  <c r="O29" i="1" a="1"/>
  <c r="P29" i="1" s="1" a="1"/>
  <c r="O30" i="1" a="1"/>
  <c r="P30" i="1" s="1" a="1"/>
  <c r="O31" i="1" a="1"/>
  <c r="P31" i="1" s="1" a="1"/>
  <c r="O32" i="1" a="1"/>
  <c r="P32" i="1" s="1" a="1"/>
  <c r="O33" i="1" a="1"/>
  <c r="P33" i="1" s="1" a="1"/>
  <c r="O34" i="1" a="1"/>
  <c r="P34" i="1" s="1" a="1"/>
  <c r="O35" i="1" a="1"/>
  <c r="P35" i="1" s="1" a="1"/>
  <c r="O36" i="1" a="1"/>
  <c r="P36" i="1" s="1" a="1"/>
  <c r="O37" i="1" a="1"/>
  <c r="P37" i="1" s="1" a="1"/>
  <c r="O38" i="1" a="1"/>
  <c r="P38" i="1" s="1" a="1"/>
  <c r="O39" i="1" a="1"/>
  <c r="P39" i="1" s="1" a="1"/>
  <c r="O40" i="1" a="1"/>
  <c r="P40" i="1" s="1" a="1"/>
  <c r="O41" i="1" a="1"/>
  <c r="P41" i="1" s="1" a="1"/>
  <c r="O42" i="1" a="1"/>
  <c r="P42" i="1" s="1" a="1"/>
  <c r="O43" i="1" a="1"/>
  <c r="P43" i="1" s="1" a="1"/>
  <c r="O44" i="1" a="1"/>
  <c r="P44" i="1" s="1" a="1"/>
  <c r="O45" i="1" a="1"/>
  <c r="P45" i="1" s="1" a="1"/>
  <c r="O46" i="1" a="1"/>
  <c r="P46" i="1" s="1" a="1"/>
  <c r="O47" i="1" a="1"/>
  <c r="P47" i="1" s="1" a="1"/>
  <c r="O48" i="1" a="1"/>
  <c r="P48" i="1" s="1" a="1"/>
  <c r="O49" i="1" a="1"/>
  <c r="P49" i="1" s="1" a="1"/>
  <c r="O50" i="1" a="1"/>
  <c r="P50" i="1" s="1" a="1"/>
  <c r="O51" i="1" a="1"/>
  <c r="P51" i="1" s="1" a="1"/>
  <c r="O52" i="1" a="1"/>
  <c r="P52" i="1" s="1" a="1"/>
  <c r="O53" i="1" a="1"/>
  <c r="P53" i="1" s="1" a="1"/>
  <c r="O54" i="1" a="1"/>
  <c r="P54" i="1" s="1" a="1"/>
  <c r="O55" i="1" a="1"/>
  <c r="P55" i="1" s="1" a="1"/>
  <c r="O56" i="1" a="1"/>
  <c r="P56" i="1" s="1" a="1"/>
  <c r="O57" i="1" a="1"/>
  <c r="P57" i="1" s="1" a="1"/>
  <c r="O58" i="1" a="1"/>
  <c r="P58" i="1" s="1" a="1"/>
  <c r="O59" i="1" a="1"/>
  <c r="P59" i="1" s="1" a="1"/>
  <c r="O60" i="1" a="1"/>
  <c r="P60" i="1" s="1" a="1"/>
  <c r="O61" i="1" a="1"/>
  <c r="P61" i="1" s="1" a="1"/>
  <c r="O62" i="1" a="1"/>
  <c r="P62" i="1" s="1" a="1"/>
  <c r="O63" i="1" a="1"/>
  <c r="P63" i="1" s="1" a="1"/>
  <c r="O64" i="1" a="1"/>
  <c r="P64" i="1" s="1" a="1"/>
  <c r="O65" i="1" a="1"/>
  <c r="P65" i="1" s="1" a="1"/>
  <c r="O66" i="1" a="1"/>
  <c r="P66" i="1" s="1" a="1"/>
  <c r="O67" i="1" a="1"/>
  <c r="P67" i="1" s="1" a="1"/>
  <c r="O68" i="1" a="1"/>
  <c r="P68" i="1" s="1" a="1"/>
  <c r="O69" i="1" a="1"/>
  <c r="P69" i="1" s="1" a="1"/>
  <c r="O70" i="1" a="1"/>
  <c r="P70" i="1" s="1" a="1"/>
  <c r="O71" i="1" a="1"/>
  <c r="P71" i="1" s="1" a="1"/>
  <c r="O72" i="1" a="1"/>
  <c r="P72" i="1" s="1" a="1"/>
  <c r="O73" i="1" a="1"/>
  <c r="P73" i="1" s="1" a="1"/>
  <c r="O74" i="1" a="1"/>
  <c r="P74" i="1" s="1" a="1"/>
  <c r="O75" i="1" a="1"/>
  <c r="P75" i="1" s="1" a="1"/>
  <c r="O76" i="1" a="1"/>
  <c r="P76" i="1" s="1" a="1"/>
  <c r="O77" i="1" a="1"/>
  <c r="P77" i="1" s="1" a="1"/>
  <c r="O78" i="1" a="1"/>
  <c r="P78" i="1" s="1" a="1"/>
  <c r="O79" i="1" a="1"/>
  <c r="P79" i="1" s="1" a="1"/>
  <c r="O80" i="1" a="1"/>
  <c r="P80" i="1" s="1" a="1"/>
  <c r="O81" i="1" a="1"/>
  <c r="P81" i="1" s="1" a="1"/>
  <c r="O82" i="1" a="1"/>
  <c r="P82" i="1" s="1" a="1"/>
  <c r="O83" i="1" a="1"/>
  <c r="P83" i="1" s="1" a="1"/>
  <c r="O84" i="1" a="1"/>
  <c r="P84" i="1" s="1" a="1"/>
  <c r="O85" i="1" a="1"/>
  <c r="P85" i="1" s="1" a="1"/>
  <c r="O86" i="1" a="1"/>
  <c r="P86" i="1" s="1" a="1"/>
  <c r="O87" i="1" a="1"/>
  <c r="P87" i="1" s="1" a="1"/>
  <c r="O88" i="1" a="1"/>
  <c r="P88" i="1" s="1" a="1"/>
  <c r="O89" i="1" a="1"/>
  <c r="P89" i="1" s="1" a="1"/>
  <c r="O90" i="1" a="1"/>
  <c r="P90" i="1" s="1" a="1"/>
  <c r="O91" i="1" a="1"/>
  <c r="P91" i="1" s="1" a="1"/>
  <c r="O92" i="1" a="1"/>
  <c r="P92" i="1" s="1" a="1"/>
  <c r="O93" i="1" a="1"/>
  <c r="P93" i="1" s="1" a="1"/>
  <c r="O94" i="1" a="1"/>
  <c r="P94" i="1" s="1" a="1"/>
  <c r="O95" i="1" a="1"/>
  <c r="P95" i="1" s="1" a="1"/>
  <c r="O96" i="1" a="1"/>
  <c r="P96" i="1" s="1" a="1"/>
  <c r="O97" i="1" a="1"/>
  <c r="P97" i="1" s="1" a="1"/>
  <c r="O98" i="1" a="1"/>
  <c r="P98" i="1" s="1" a="1"/>
  <c r="O99" i="1" a="1"/>
  <c r="P99" i="1" s="1" a="1"/>
  <c r="O100" i="1" a="1"/>
  <c r="P100" i="1" s="1" a="1"/>
  <c r="O101" i="1" a="1"/>
  <c r="P101" i="1" s="1" a="1"/>
  <c r="O102" i="1" a="1"/>
  <c r="P102" i="1" s="1" a="1"/>
  <c r="O103" i="1" a="1"/>
  <c r="P103" i="1" s="1" a="1"/>
  <c r="O104" i="1" a="1"/>
  <c r="P104" i="1" s="1" a="1"/>
  <c r="O105" i="1" a="1"/>
  <c r="P105" i="1" s="1" a="1"/>
  <c r="O106" i="1" a="1"/>
  <c r="P106" i="1" s="1" a="1"/>
  <c r="O107" i="1" a="1"/>
  <c r="P107" i="1" s="1" a="1"/>
  <c r="O108" i="1" a="1"/>
  <c r="P108" i="1" s="1" a="1"/>
  <c r="O109" i="1" a="1"/>
  <c r="P109" i="1" s="1" a="1"/>
  <c r="O110" i="1" a="1"/>
  <c r="P110" i="1" s="1" a="1"/>
  <c r="O111" i="1" a="1"/>
  <c r="P111" i="1" s="1" a="1"/>
  <c r="O112" i="1" a="1"/>
  <c r="P112" i="1" s="1" a="1"/>
  <c r="O113" i="1" a="1"/>
  <c r="P113" i="1" s="1" a="1"/>
  <c r="O114" i="1" a="1"/>
  <c r="P114" i="1" s="1" a="1"/>
  <c r="O115" i="1" a="1"/>
  <c r="P115" i="1" s="1" a="1"/>
  <c r="O116" i="1" a="1"/>
  <c r="P116" i="1" s="1" a="1"/>
  <c r="O117" i="1" a="1"/>
  <c r="P117" i="1" s="1" a="1"/>
  <c r="O118" i="1" a="1"/>
  <c r="P118" i="1" s="1" a="1"/>
  <c r="O119" i="1" a="1"/>
  <c r="P119" i="1" s="1" a="1"/>
  <c r="O120" i="1" a="1"/>
  <c r="P120" i="1" s="1" a="1"/>
  <c r="O121" i="1" a="1"/>
  <c r="P121" i="1" s="1" a="1"/>
  <c r="O122" i="1" a="1"/>
  <c r="P122" i="1" s="1" a="1"/>
  <c r="O123" i="1" a="1"/>
  <c r="P123" i="1" s="1" a="1"/>
  <c r="O124" i="1" a="1"/>
  <c r="P124" i="1" s="1" a="1"/>
  <c r="O125" i="1" a="1"/>
  <c r="P125" i="1" s="1" a="1"/>
  <c r="O126" i="1" a="1"/>
  <c r="P126" i="1" s="1" a="1"/>
  <c r="O127" i="1" a="1"/>
  <c r="P127" i="1" s="1" a="1"/>
  <c r="O128" i="1" a="1"/>
  <c r="P128" i="1" s="1" a="1"/>
  <c r="O129" i="1" a="1"/>
  <c r="P129" i="1" s="1" a="1"/>
  <c r="O130" i="1" a="1"/>
  <c r="P130" i="1" s="1" a="1"/>
  <c r="O131" i="1" a="1"/>
  <c r="P131" i="1" s="1" a="1"/>
  <c r="O132" i="1" a="1"/>
  <c r="P132" i="1" s="1" a="1"/>
  <c r="O133" i="1" a="1"/>
  <c r="P133" i="1" s="1" a="1"/>
  <c r="O134" i="1" a="1"/>
  <c r="P134" i="1" s="1" a="1"/>
  <c r="O135" i="1" a="1"/>
  <c r="P135" i="1" s="1" a="1"/>
  <c r="O136" i="1" a="1"/>
  <c r="P136" i="1" s="1" a="1"/>
  <c r="O137" i="1" a="1"/>
  <c r="P137" i="1" s="1" a="1"/>
  <c r="O138" i="1" a="1"/>
  <c r="P138" i="1" s="1" a="1"/>
  <c r="O139" i="1" a="1"/>
  <c r="P139" i="1" s="1" a="1"/>
  <c r="O140" i="1" a="1"/>
  <c r="P140" i="1" s="1" a="1"/>
  <c r="O141" i="1" a="1"/>
  <c r="P141" i="1" s="1" a="1"/>
  <c r="O142" i="1" a="1"/>
  <c r="P142" i="1" s="1" a="1"/>
  <c r="O143" i="1" a="1"/>
  <c r="P143" i="1" s="1" a="1"/>
  <c r="O144" i="1" a="1"/>
  <c r="P144" i="1" s="1" a="1"/>
  <c r="O145" i="1" a="1"/>
  <c r="P145" i="1" s="1" a="1"/>
  <c r="O146" i="1" a="1"/>
  <c r="P146" i="1" s="1" a="1"/>
  <c r="O147" i="1" a="1"/>
  <c r="P147" i="1" s="1" a="1"/>
  <c r="O148" i="1" a="1"/>
  <c r="P148" i="1" s="1" a="1"/>
  <c r="O149" i="1" a="1"/>
  <c r="P149" i="1" s="1" a="1"/>
  <c r="O150" i="1" a="1"/>
  <c r="P150" i="1" s="1" a="1"/>
  <c r="O151" i="1" a="1"/>
  <c r="P151" i="1" s="1" a="1"/>
  <c r="O152" i="1" a="1"/>
  <c r="P152" i="1" s="1" a="1"/>
  <c r="O153" i="1" a="1"/>
  <c r="P153" i="1" s="1" a="1"/>
  <c r="O154" i="1" a="1"/>
  <c r="P154" i="1" s="1" a="1"/>
  <c r="O155" i="1" a="1"/>
  <c r="P155" i="1" s="1" a="1"/>
  <c r="O156" i="1" a="1"/>
  <c r="P156" i="1" s="1" a="1"/>
  <c r="O157" i="1" a="1"/>
  <c r="P157" i="1" s="1" a="1"/>
  <c r="O158" i="1" a="1"/>
  <c r="P158" i="1" s="1" a="1"/>
  <c r="O159" i="1" a="1"/>
  <c r="P159" i="1" s="1" a="1"/>
  <c r="O160" i="1" a="1"/>
  <c r="P160" i="1" s="1" a="1"/>
  <c r="O161" i="1" a="1"/>
  <c r="P161" i="1" s="1" a="1"/>
  <c r="O162" i="1" a="1"/>
  <c r="P162" i="1" s="1" a="1"/>
  <c r="O163" i="1" a="1"/>
  <c r="P163" i="1" s="1" a="1"/>
  <c r="O164" i="1" a="1"/>
  <c r="P164" i="1" s="1" a="1"/>
  <c r="O165" i="1" a="1"/>
  <c r="P165" i="1" s="1" a="1"/>
  <c r="O166" i="1" a="1"/>
  <c r="P166" i="1" s="1" a="1"/>
  <c r="O167" i="1" a="1"/>
  <c r="P167" i="1" s="1" a="1"/>
  <c r="O168" i="1" a="1"/>
  <c r="P168" i="1" s="1" a="1"/>
  <c r="O169" i="1" a="1"/>
  <c r="P169" i="1" s="1" a="1"/>
  <c r="O170" i="1" a="1"/>
  <c r="P170" i="1" s="1" a="1"/>
  <c r="O171" i="1" a="1"/>
  <c r="P171" i="1" s="1" a="1"/>
  <c r="O172" i="1" a="1"/>
  <c r="P172" i="1" s="1" a="1"/>
  <c r="O173" i="1" a="1"/>
  <c r="P173" i="1" s="1" a="1"/>
  <c r="O174" i="1" a="1"/>
  <c r="P174" i="1" s="1" a="1"/>
  <c r="O175" i="1" a="1"/>
  <c r="P175" i="1" s="1" a="1"/>
  <c r="O176" i="1" a="1"/>
  <c r="P176" i="1" s="1" a="1"/>
  <c r="O177" i="1" a="1"/>
  <c r="P177" i="1" s="1" a="1"/>
  <c r="O178" i="1" a="1"/>
  <c r="P178" i="1" s="1" a="1"/>
  <c r="O179" i="1" a="1"/>
  <c r="P179" i="1" s="1" a="1"/>
  <c r="O180" i="1" a="1"/>
  <c r="P180" i="1" s="1" a="1"/>
  <c r="O181" i="1" a="1"/>
  <c r="P181" i="1" s="1" a="1"/>
  <c r="O182" i="1" a="1"/>
  <c r="P182" i="1" s="1" a="1"/>
  <c r="O183" i="1" a="1"/>
  <c r="P183" i="1" s="1" a="1"/>
  <c r="O184" i="1" a="1"/>
  <c r="P184" i="1" s="1" a="1"/>
  <c r="O185" i="1" a="1"/>
  <c r="P185" i="1" s="1" a="1"/>
  <c r="O186" i="1" a="1"/>
  <c r="P186" i="1" s="1" a="1"/>
  <c r="O187" i="1" a="1"/>
  <c r="P187" i="1" s="1" a="1"/>
  <c r="O188" i="1" a="1"/>
  <c r="P188" i="1" s="1" a="1"/>
  <c r="O189" i="1" a="1"/>
  <c r="P189" i="1" s="1" a="1"/>
  <c r="O190" i="1" a="1"/>
  <c r="P190" i="1" s="1" a="1"/>
  <c r="O191" i="1" a="1"/>
  <c r="P191" i="1" s="1" a="1"/>
  <c r="O192" i="1" a="1"/>
  <c r="P192" i="1" s="1" a="1"/>
  <c r="O193" i="1" a="1"/>
  <c r="P193" i="1" s="1" a="1"/>
  <c r="O194" i="1" a="1"/>
  <c r="P194" i="1" s="1" a="1"/>
  <c r="O195" i="1" a="1"/>
  <c r="P195" i="1" s="1" a="1"/>
  <c r="O196" i="1" a="1"/>
  <c r="P196" i="1" s="1" a="1"/>
  <c r="O197" i="1" a="1"/>
  <c r="P197" i="1" s="1" a="1"/>
  <c r="O198" i="1" a="1"/>
  <c r="P198" i="1" s="1" a="1"/>
  <c r="O199" i="1" a="1"/>
  <c r="P199" i="1" s="1" a="1"/>
  <c r="O200" i="1" a="1"/>
  <c r="P200" i="1" s="1" a="1"/>
  <c r="O201" i="1" a="1"/>
  <c r="P201" i="1" s="1" a="1"/>
  <c r="O202" i="1" a="1"/>
  <c r="P202" i="1" s="1" a="1"/>
  <c r="O203" i="1" a="1"/>
  <c r="P203" i="1" s="1" a="1"/>
  <c r="O204" i="1" a="1"/>
  <c r="P204" i="1" s="1" a="1"/>
  <c r="O205" i="1" a="1"/>
  <c r="P205" i="1" s="1" a="1"/>
  <c r="O206" i="1" a="1"/>
  <c r="P206" i="1" s="1" a="1"/>
  <c r="O207" i="1" a="1"/>
  <c r="P207" i="1" s="1" a="1"/>
  <c r="O208" i="1" a="1"/>
  <c r="P208" i="1" s="1" a="1"/>
  <c r="O209" i="1" a="1"/>
  <c r="P209" i="1" s="1" a="1"/>
  <c r="O210" i="1" a="1"/>
  <c r="P210" i="1" s="1" a="1"/>
  <c r="O211" i="1" a="1"/>
  <c r="P211" i="1" s="1" a="1"/>
  <c r="O212" i="1" a="1"/>
  <c r="P212" i="1" s="1" a="1"/>
  <c r="O213" i="1" a="1"/>
  <c r="P213" i="1" s="1" a="1"/>
  <c r="O214" i="1" a="1"/>
  <c r="P214" i="1" s="1" a="1"/>
  <c r="O215" i="1" a="1"/>
  <c r="P215" i="1" s="1" a="1"/>
  <c r="O216" i="1" a="1"/>
  <c r="P216" i="1" s="1" a="1"/>
  <c r="O217" i="1" a="1"/>
  <c r="P217" i="1" s="1" a="1"/>
  <c r="O218" i="1" a="1"/>
  <c r="P218" i="1" s="1" a="1"/>
  <c r="O219" i="1" a="1"/>
  <c r="P219" i="1" s="1" a="1"/>
  <c r="O220" i="1" a="1"/>
  <c r="P220" i="1" s="1" a="1"/>
  <c r="O221" i="1" a="1"/>
  <c r="P221" i="1" s="1" a="1"/>
  <c r="O222" i="1" a="1"/>
  <c r="P222" i="1" s="1" a="1"/>
  <c r="O223" i="1" a="1"/>
  <c r="P223" i="1" s="1" a="1"/>
  <c r="O224" i="1" a="1"/>
  <c r="P224" i="1" s="1" a="1"/>
  <c r="O225" i="1" a="1"/>
  <c r="P225" i="1" s="1" a="1"/>
  <c r="O226" i="1" a="1"/>
  <c r="P226" i="1" s="1" a="1"/>
  <c r="O227" i="1" a="1"/>
  <c r="P227" i="1" s="1" a="1"/>
  <c r="O228" i="1" a="1"/>
  <c r="P228" i="1" s="1" a="1"/>
  <c r="O229" i="1" a="1"/>
  <c r="P229" i="1" s="1" a="1"/>
  <c r="O230" i="1" a="1"/>
  <c r="P230" i="1" s="1" a="1"/>
  <c r="O231" i="1" a="1"/>
  <c r="P231" i="1" s="1" a="1"/>
  <c r="O232" i="1" a="1"/>
  <c r="P232" i="1" s="1" a="1"/>
  <c r="O233" i="1" a="1"/>
  <c r="P233" i="1" s="1" a="1"/>
  <c r="O234" i="1" a="1"/>
  <c r="P234" i="1" s="1" a="1"/>
  <c r="O235" i="1" a="1"/>
  <c r="P235" i="1" s="1" a="1"/>
  <c r="O236" i="1" a="1"/>
  <c r="P236" i="1" s="1" a="1"/>
  <c r="O237" i="1" a="1"/>
  <c r="P237" i="1" s="1" a="1"/>
  <c r="O238" i="1" a="1"/>
  <c r="P238" i="1" s="1" a="1"/>
  <c r="O239" i="1" a="1"/>
  <c r="P239" i="1" s="1" a="1"/>
  <c r="O240" i="1" a="1"/>
  <c r="P240" i="1" s="1" a="1"/>
  <c r="O241" i="1" a="1"/>
  <c r="P241" i="1" s="1" a="1"/>
  <c r="O242" i="1" a="1"/>
  <c r="P242" i="1" s="1" a="1"/>
  <c r="O243" i="1" a="1"/>
  <c r="P243" i="1" s="1" a="1"/>
  <c r="O244" i="1" a="1"/>
  <c r="P244" i="1" s="1" a="1"/>
  <c r="O245" i="1" a="1"/>
  <c r="P245" i="1" s="1" a="1"/>
  <c r="O246" i="1" a="1"/>
  <c r="P246" i="1" s="1" a="1"/>
  <c r="O247" i="1" a="1"/>
  <c r="P247" i="1" s="1" a="1"/>
  <c r="O248" i="1" a="1"/>
  <c r="P248" i="1" s="1" a="1"/>
  <c r="O249" i="1" a="1"/>
  <c r="P249" i="1" s="1" a="1"/>
  <c r="O250" i="1" a="1"/>
  <c r="P250" i="1" s="1" a="1"/>
  <c r="O251" i="1" a="1"/>
  <c r="P251" i="1" s="1" a="1"/>
  <c r="O252" i="1" a="1"/>
  <c r="P252" i="1" s="1" a="1"/>
  <c r="O253" i="1" a="1"/>
  <c r="P253" i="1" s="1" a="1"/>
  <c r="O254" i="1" a="1"/>
  <c r="P254" i="1" s="1" a="1"/>
  <c r="O255" i="1" a="1"/>
  <c r="P255" i="1" s="1" a="1"/>
  <c r="O256" i="1" a="1"/>
  <c r="P256" i="1" s="1" a="1"/>
  <c r="O257" i="1" a="1"/>
  <c r="P257" i="1" s="1" a="1"/>
  <c r="O258" i="1" a="1"/>
  <c r="P258" i="1" s="1" a="1"/>
  <c r="O259" i="1" a="1"/>
  <c r="P259" i="1" s="1" a="1"/>
  <c r="O260" i="1" a="1"/>
  <c r="P260" i="1" s="1" a="1"/>
  <c r="O261" i="1" a="1"/>
  <c r="P261" i="1" s="1" a="1"/>
  <c r="O262" i="1" a="1"/>
  <c r="P262" i="1" s="1" a="1"/>
  <c r="O263" i="1" a="1"/>
  <c r="P263" i="1" s="1" a="1"/>
  <c r="O264" i="1" a="1"/>
  <c r="P264" i="1" s="1" a="1"/>
  <c r="O265" i="1" a="1"/>
  <c r="P265" i="1" s="1" a="1"/>
  <c r="O266" i="1" a="1"/>
  <c r="P266" i="1" s="1" a="1"/>
  <c r="O267" i="1" a="1"/>
  <c r="P267" i="1" s="1" a="1"/>
  <c r="O268" i="1" a="1"/>
  <c r="P268" i="1" s="1" a="1"/>
  <c r="O269" i="1" a="1"/>
  <c r="P269" i="1" s="1" a="1"/>
  <c r="O270" i="1" a="1"/>
  <c r="P270" i="1" s="1" a="1"/>
  <c r="O271" i="1" a="1"/>
  <c r="P271" i="1" s="1" a="1"/>
  <c r="O272" i="1" a="1"/>
  <c r="P272" i="1" s="1" a="1"/>
  <c r="O273" i="1" a="1"/>
  <c r="P273" i="1" s="1" a="1"/>
  <c r="O274" i="1" a="1"/>
  <c r="P274" i="1" s="1" a="1"/>
  <c r="O275" i="1" a="1"/>
  <c r="P275" i="1" s="1" a="1"/>
  <c r="O276" i="1" a="1"/>
  <c r="P276" i="1" s="1" a="1"/>
  <c r="O277" i="1" a="1"/>
  <c r="P277" i="1" s="1" a="1"/>
  <c r="O278" i="1" a="1"/>
  <c r="P278" i="1" s="1" a="1"/>
  <c r="O279" i="1" a="1"/>
  <c r="P279" i="1" s="1" a="1"/>
  <c r="O280" i="1" a="1"/>
  <c r="P280" i="1" s="1" a="1"/>
  <c r="O281" i="1" a="1"/>
  <c r="P281" i="1" s="1" a="1"/>
  <c r="O282" i="1" a="1"/>
  <c r="P282" i="1" s="1" a="1"/>
  <c r="O283" i="1" a="1"/>
  <c r="P283" i="1" s="1" a="1"/>
  <c r="O284" i="1" a="1"/>
  <c r="P284" i="1" s="1" a="1"/>
  <c r="O285" i="1" a="1"/>
  <c r="P285" i="1" s="1" a="1"/>
  <c r="O286" i="1" a="1"/>
  <c r="P286" i="1" s="1" a="1"/>
  <c r="O287" i="1" a="1"/>
  <c r="P287" i="1" s="1" a="1"/>
  <c r="O288" i="1" a="1"/>
  <c r="P288" i="1" s="1" a="1"/>
  <c r="O289" i="1" a="1"/>
  <c r="P289" i="1" s="1" a="1"/>
  <c r="O290" i="1" a="1"/>
  <c r="P290" i="1" s="1" a="1"/>
  <c r="O291" i="1" a="1"/>
  <c r="P291" i="1" s="1" a="1"/>
  <c r="O292" i="1" a="1"/>
  <c r="P292" i="1" s="1" a="1"/>
  <c r="O293" i="1" a="1"/>
  <c r="P293" i="1" s="1" a="1"/>
  <c r="O294" i="1" a="1"/>
  <c r="P294" i="1" s="1" a="1"/>
  <c r="O295" i="1" a="1"/>
  <c r="P295" i="1" s="1" a="1"/>
  <c r="O296" i="1" a="1"/>
  <c r="P296" i="1" s="1" a="1"/>
  <c r="O297" i="1" a="1"/>
  <c r="P297" i="1" s="1" a="1"/>
  <c r="O298" i="1" a="1"/>
  <c r="P298" i="1" s="1" a="1"/>
  <c r="O299" i="1" a="1"/>
  <c r="P299" i="1" s="1" a="1"/>
  <c r="O300" i="1" a="1"/>
  <c r="P300" i="1" s="1" a="1"/>
  <c r="O301" i="1" a="1"/>
  <c r="P301" i="1" s="1" a="1"/>
  <c r="O302" i="1" a="1"/>
  <c r="P302" i="1" s="1" a="1"/>
  <c r="O303" i="1" a="1"/>
  <c r="P303" i="1" s="1" a="1"/>
  <c r="O304" i="1" a="1"/>
  <c r="P304" i="1" s="1" a="1"/>
  <c r="O305" i="1" a="1"/>
  <c r="P305" i="1" s="1" a="1"/>
  <c r="O306" i="1" a="1"/>
  <c r="P306" i="1" s="1" a="1"/>
  <c r="O307" i="1" a="1"/>
  <c r="P307" i="1" s="1" a="1"/>
  <c r="O308" i="1" a="1"/>
  <c r="P308" i="1" s="1" a="1"/>
  <c r="O309" i="1" a="1"/>
  <c r="P309" i="1" s="1" a="1"/>
  <c r="O310" i="1" a="1"/>
  <c r="P310" i="1" s="1" a="1"/>
  <c r="O311" i="1" a="1"/>
  <c r="P311" i="1" s="1" a="1"/>
  <c r="O312" i="1" a="1"/>
  <c r="P312" i="1" s="1" a="1"/>
  <c r="O313" i="1" a="1"/>
  <c r="P313" i="1" s="1" a="1"/>
  <c r="O314" i="1" a="1"/>
  <c r="P314" i="1" s="1" a="1"/>
  <c r="O315" i="1" a="1"/>
  <c r="P315" i="1" s="1" a="1"/>
  <c r="O316" i="1" a="1"/>
  <c r="P316" i="1" s="1" a="1"/>
  <c r="O317" i="1" a="1"/>
  <c r="P317" i="1" s="1" a="1"/>
  <c r="O318" i="1" a="1"/>
  <c r="P318" i="1" s="1" a="1"/>
  <c r="O319" i="1" a="1"/>
  <c r="P319" i="1" s="1" a="1"/>
  <c r="O320" i="1" a="1"/>
  <c r="P320" i="1" s="1" a="1"/>
  <c r="O321" i="1" a="1"/>
  <c r="P321" i="1" s="1" a="1"/>
  <c r="O322" i="1" a="1"/>
  <c r="P322" i="1" s="1" a="1"/>
  <c r="O323" i="1" a="1"/>
  <c r="P323" i="1" s="1" a="1"/>
  <c r="O324" i="1" a="1"/>
  <c r="P324" i="1" s="1" a="1"/>
  <c r="O325" i="1" a="1"/>
  <c r="P325" i="1" s="1" a="1"/>
  <c r="O326" i="1" a="1"/>
  <c r="P326" i="1" s="1" a="1"/>
  <c r="O327" i="1" a="1"/>
  <c r="P327" i="1" s="1" a="1"/>
  <c r="O328" i="1" a="1"/>
  <c r="P328" i="1" s="1" a="1"/>
  <c r="O329" i="1" a="1"/>
  <c r="P329" i="1" s="1" a="1"/>
  <c r="O330" i="1" a="1"/>
  <c r="P330" i="1" s="1" a="1"/>
  <c r="O331" i="1" a="1"/>
  <c r="P331" i="1" s="1" a="1"/>
  <c r="O332" i="1" a="1"/>
  <c r="P332" i="1" s="1" a="1"/>
  <c r="O333" i="1" a="1"/>
  <c r="P333" i="1" s="1" a="1"/>
  <c r="O334" i="1" a="1"/>
  <c r="P334" i="1" s="1" a="1"/>
  <c r="O335" i="1" a="1"/>
  <c r="P335" i="1" s="1" a="1"/>
  <c r="O336" i="1" a="1"/>
  <c r="P336" i="1" s="1" a="1"/>
  <c r="O337" i="1" a="1"/>
  <c r="P337" i="1" s="1" a="1"/>
  <c r="O338" i="1" a="1"/>
  <c r="P338" i="1" s="1" a="1"/>
  <c r="O339" i="1" a="1"/>
  <c r="P339" i="1" s="1" a="1"/>
  <c r="O340" i="1" a="1"/>
  <c r="P340" i="1" s="1" a="1"/>
  <c r="O341" i="1" a="1"/>
  <c r="P341" i="1" s="1" a="1"/>
  <c r="O342" i="1" a="1"/>
  <c r="P342" i="1" s="1" a="1"/>
  <c r="O343" i="1" a="1"/>
  <c r="P343" i="1" s="1" a="1"/>
  <c r="O344" i="1" a="1"/>
  <c r="P344" i="1" s="1" a="1"/>
  <c r="O345" i="1" a="1"/>
  <c r="P345" i="1" s="1" a="1"/>
  <c r="O346" i="1" a="1"/>
  <c r="P346" i="1" s="1" a="1"/>
  <c r="O347" i="1" a="1"/>
  <c r="P347" i="1" s="1" a="1"/>
  <c r="O348" i="1" a="1"/>
  <c r="P348" i="1" s="1" a="1"/>
  <c r="O349" i="1" a="1"/>
  <c r="P349" i="1" s="1" a="1"/>
  <c r="O350" i="1" a="1"/>
  <c r="P350" i="1" s="1" a="1"/>
  <c r="O351" i="1" a="1"/>
  <c r="P351" i="1" s="1" a="1"/>
  <c r="O352" i="1" a="1"/>
  <c r="P352" i="1" s="1" a="1"/>
  <c r="O353" i="1" a="1"/>
  <c r="P353" i="1" s="1" a="1"/>
  <c r="O354" i="1" a="1"/>
  <c r="P354" i="1" s="1" a="1"/>
  <c r="O355" i="1" a="1"/>
  <c r="P355" i="1" s="1" a="1"/>
  <c r="O356" i="1" a="1"/>
  <c r="P356" i="1" s="1" a="1"/>
  <c r="O357" i="1" a="1"/>
  <c r="P357" i="1" s="1" a="1"/>
  <c r="O358" i="1" a="1"/>
  <c r="P358" i="1" s="1" a="1"/>
  <c r="O359" i="1" a="1"/>
  <c r="P359" i="1" s="1" a="1"/>
  <c r="O360" i="1" a="1"/>
  <c r="P360" i="1" s="1" a="1"/>
  <c r="O361" i="1" a="1"/>
  <c r="P361" i="1" s="1" a="1"/>
  <c r="O362" i="1" a="1"/>
  <c r="P362" i="1" s="1" a="1"/>
  <c r="O363" i="1" a="1"/>
  <c r="P363" i="1" s="1" a="1"/>
  <c r="O364" i="1" a="1"/>
  <c r="P364" i="1" s="1" a="1"/>
  <c r="O365" i="1" a="1"/>
  <c r="P365" i="1" s="1" a="1"/>
  <c r="O366" i="1" a="1"/>
  <c r="P366" i="1" s="1" a="1"/>
  <c r="O367" i="1" a="1"/>
  <c r="P367" i="1" s="1" a="1"/>
  <c r="O368" i="1" a="1"/>
  <c r="P368" i="1" s="1" a="1"/>
  <c r="O369" i="1" a="1"/>
  <c r="P369" i="1" s="1" a="1"/>
  <c r="O370" i="1" a="1"/>
  <c r="P370" i="1" s="1" a="1"/>
  <c r="O371" i="1" a="1"/>
  <c r="P371" i="1" s="1" a="1"/>
  <c r="O372" i="1" a="1"/>
  <c r="P372" i="1" s="1" a="1"/>
  <c r="O373" i="1" a="1"/>
  <c r="P373" i="1" s="1" a="1"/>
  <c r="O374" i="1" a="1"/>
  <c r="P374" i="1" s="1" a="1"/>
  <c r="O375" i="1" a="1"/>
  <c r="P375" i="1" s="1" a="1"/>
  <c r="O376" i="1" a="1"/>
  <c r="P376" i="1" s="1" a="1"/>
  <c r="O377" i="1" a="1"/>
  <c r="P377" i="1" s="1" a="1"/>
  <c r="O378" i="1" a="1"/>
  <c r="P378" i="1" s="1" a="1"/>
  <c r="O379" i="1" a="1"/>
  <c r="P379" i="1" s="1" a="1"/>
  <c r="O380" i="1" a="1"/>
  <c r="P380" i="1" s="1" a="1"/>
  <c r="O381" i="1" a="1"/>
  <c r="P381" i="1" s="1" a="1"/>
  <c r="O382" i="1" a="1"/>
  <c r="P382" i="1" s="1" a="1"/>
  <c r="O383" i="1" a="1"/>
  <c r="P383" i="1" s="1" a="1"/>
  <c r="O384" i="1" a="1"/>
  <c r="P384" i="1" s="1" a="1"/>
  <c r="O385" i="1" a="1"/>
  <c r="P385" i="1" s="1" a="1"/>
  <c r="O386" i="1" a="1"/>
  <c r="P386" i="1" s="1" a="1"/>
  <c r="O387" i="1" a="1"/>
  <c r="P387" i="1" s="1" a="1"/>
  <c r="O388" i="1" a="1"/>
  <c r="P388" i="1" s="1" a="1"/>
  <c r="O389" i="1" a="1"/>
  <c r="P389" i="1" s="1" a="1"/>
  <c r="O390" i="1" a="1"/>
  <c r="P390" i="1" s="1" a="1"/>
  <c r="O391" i="1" a="1"/>
  <c r="P391" i="1" s="1" a="1"/>
  <c r="O392" i="1" a="1"/>
  <c r="P392" i="1" s="1" a="1"/>
  <c r="O393" i="1" a="1"/>
  <c r="P393" i="1" s="1" a="1"/>
  <c r="O394" i="1" a="1"/>
  <c r="P394" i="1" s="1" a="1"/>
  <c r="O395" i="1" a="1"/>
  <c r="P395" i="1" s="1" a="1"/>
  <c r="O396" i="1" a="1"/>
  <c r="P396" i="1" s="1" a="1"/>
  <c r="O397" i="1" a="1"/>
  <c r="P397" i="1" s="1" a="1"/>
  <c r="O398" i="1" a="1"/>
  <c r="P398" i="1" s="1" a="1"/>
  <c r="O399" i="1" a="1"/>
  <c r="P399" i="1" s="1" a="1"/>
  <c r="O400" i="1" a="1"/>
  <c r="P400" i="1" s="1" a="1"/>
  <c r="O401" i="1" a="1"/>
  <c r="P401" i="1" s="1" a="1"/>
  <c r="O402" i="1" a="1"/>
  <c r="P402" i="1" s="1" a="1"/>
  <c r="O403" i="1" a="1"/>
  <c r="P403" i="1" s="1" a="1"/>
  <c r="O404" i="1" a="1"/>
  <c r="P404" i="1" s="1" a="1"/>
  <c r="O405" i="1" a="1"/>
  <c r="P405" i="1" s="1" a="1"/>
  <c r="O406" i="1" a="1"/>
  <c r="P406" i="1" s="1" a="1"/>
  <c r="O407" i="1" a="1"/>
  <c r="P407" i="1" s="1" a="1"/>
  <c r="O408" i="1" a="1"/>
  <c r="P408" i="1" s="1" a="1"/>
  <c r="O409" i="1" a="1"/>
  <c r="P409" i="1" s="1" a="1"/>
  <c r="O410" i="1" a="1"/>
  <c r="P410" i="1" s="1" a="1"/>
  <c r="O411" i="1" a="1"/>
  <c r="P411" i="1" s="1" a="1"/>
  <c r="O412" i="1" a="1"/>
  <c r="P412" i="1" s="1" a="1"/>
  <c r="O413" i="1" a="1"/>
  <c r="P413" i="1" s="1" a="1"/>
  <c r="O414" i="1" a="1"/>
  <c r="P414" i="1" s="1" a="1"/>
  <c r="O415" i="1" a="1"/>
  <c r="P415" i="1" s="1" a="1"/>
  <c r="O416" i="1" a="1"/>
  <c r="P416" i="1" s="1" a="1"/>
  <c r="O417" i="1" a="1"/>
  <c r="P417" i="1" s="1" a="1"/>
  <c r="O418" i="1" a="1"/>
  <c r="P418" i="1" s="1" a="1"/>
  <c r="O419" i="1" a="1"/>
  <c r="P419" i="1" s="1" a="1"/>
  <c r="O420" i="1" a="1"/>
  <c r="P420" i="1" s="1" a="1"/>
  <c r="O421" i="1" a="1"/>
  <c r="P421" i="1" s="1" a="1"/>
  <c r="O422" i="1" a="1"/>
  <c r="P422" i="1" s="1" a="1"/>
  <c r="O423" i="1" a="1"/>
  <c r="P423" i="1" s="1" a="1"/>
  <c r="O424" i="1" a="1"/>
  <c r="P424" i="1" s="1" a="1"/>
  <c r="O425" i="1" a="1"/>
  <c r="P425" i="1" s="1" a="1"/>
  <c r="O426" i="1" a="1"/>
  <c r="P426" i="1" s="1" a="1"/>
  <c r="O427" i="1" a="1"/>
  <c r="P427" i="1" s="1" a="1"/>
  <c r="O428" i="1" a="1"/>
  <c r="P428" i="1" s="1" a="1"/>
  <c r="O429" i="1" a="1"/>
  <c r="P429" i="1" s="1" a="1"/>
  <c r="O430" i="1" a="1"/>
  <c r="P430" i="1" s="1" a="1"/>
  <c r="O431" i="1" a="1"/>
  <c r="P431" i="1" s="1" a="1"/>
  <c r="O432" i="1" a="1"/>
  <c r="P432" i="1" s="1" a="1"/>
  <c r="O433" i="1" a="1"/>
  <c r="P433" i="1" s="1" a="1"/>
  <c r="O434" i="1" a="1"/>
  <c r="P434" i="1" s="1" a="1"/>
  <c r="O435" i="1" a="1"/>
  <c r="P435" i="1" s="1" a="1"/>
  <c r="O436" i="1" a="1"/>
  <c r="P436" i="1" s="1" a="1"/>
  <c r="O437" i="1" a="1"/>
  <c r="P437" i="1" s="1" a="1"/>
  <c r="O438" i="1" a="1"/>
  <c r="P438" i="1" s="1" a="1"/>
  <c r="O439" i="1" a="1"/>
  <c r="P439" i="1" s="1" a="1"/>
  <c r="O440" i="1" a="1"/>
  <c r="P440" i="1" s="1" a="1"/>
  <c r="O441" i="1" a="1"/>
  <c r="P441" i="1" s="1" a="1"/>
  <c r="O442" i="1" a="1"/>
  <c r="P442" i="1" s="1" a="1"/>
  <c r="O443" i="1" a="1"/>
  <c r="P443" i="1" s="1" a="1"/>
  <c r="O444" i="1" a="1"/>
  <c r="P444" i="1" s="1" a="1"/>
  <c r="O445" i="1" a="1"/>
  <c r="P445" i="1" s="1" a="1"/>
  <c r="O446" i="1" a="1"/>
  <c r="P446" i="1" s="1" a="1"/>
  <c r="O447" i="1" a="1"/>
  <c r="P447" i="1" s="1" a="1"/>
  <c r="O448" i="1" a="1"/>
  <c r="P448" i="1" s="1" a="1"/>
  <c r="O449" i="1" a="1"/>
  <c r="P449" i="1" s="1" a="1"/>
  <c r="O450" i="1" a="1"/>
  <c r="P450" i="1" s="1" a="1"/>
  <c r="O451" i="1" a="1"/>
  <c r="P451" i="1" s="1" a="1"/>
  <c r="O452" i="1" a="1"/>
  <c r="P452" i="1" s="1" a="1"/>
  <c r="O453" i="1" a="1"/>
  <c r="P453" i="1" s="1" a="1"/>
  <c r="O454" i="1" a="1"/>
  <c r="P454" i="1" s="1" a="1"/>
  <c r="O455" i="1" a="1"/>
  <c r="P455" i="1" s="1" a="1"/>
  <c r="O456" i="1" a="1"/>
  <c r="P456" i="1" s="1" a="1"/>
  <c r="O457" i="1" a="1"/>
  <c r="P457" i="1" s="1" a="1"/>
  <c r="O458" i="1" a="1"/>
  <c r="P458" i="1" s="1" a="1"/>
  <c r="O459" i="1" a="1"/>
  <c r="P459" i="1" s="1" a="1"/>
  <c r="O460" i="1" a="1"/>
  <c r="P460" i="1" s="1" a="1"/>
  <c r="O461" i="1" a="1"/>
  <c r="P461" i="1" s="1" a="1"/>
  <c r="O462" i="1" a="1"/>
  <c r="P462" i="1" s="1" a="1"/>
  <c r="O463" i="1" a="1"/>
  <c r="P463" i="1" s="1" a="1"/>
  <c r="O464" i="1" a="1"/>
  <c r="P464" i="1" s="1" a="1"/>
  <c r="O465" i="1" a="1"/>
  <c r="P465" i="1" s="1" a="1"/>
  <c r="O466" i="1" a="1"/>
  <c r="P466" i="1" s="1" a="1"/>
  <c r="O467" i="1" a="1"/>
  <c r="P467" i="1" s="1" a="1"/>
  <c r="O468" i="1" a="1"/>
  <c r="P468" i="1" s="1" a="1"/>
  <c r="O469" i="1" a="1"/>
  <c r="P469" i="1" s="1" a="1"/>
  <c r="O470" i="1" a="1"/>
  <c r="P470" i="1" s="1" a="1"/>
  <c r="O471" i="1" a="1"/>
  <c r="P471" i="1" s="1" a="1"/>
  <c r="O472" i="1" a="1"/>
  <c r="P472" i="1" s="1" a="1"/>
  <c r="O473" i="1" a="1"/>
  <c r="P473" i="1" s="1" a="1"/>
  <c r="O474" i="1" a="1"/>
  <c r="P474" i="1" s="1" a="1"/>
  <c r="O475" i="1" a="1"/>
  <c r="P475" i="1" s="1" a="1"/>
  <c r="O476" i="1" a="1"/>
  <c r="P476" i="1" s="1" a="1"/>
  <c r="O477" i="1" a="1"/>
  <c r="P477" i="1" s="1" a="1"/>
  <c r="O478" i="1" a="1"/>
  <c r="P478" i="1" s="1" a="1"/>
  <c r="O479" i="1" a="1"/>
  <c r="P479" i="1" s="1" a="1"/>
  <c r="O480" i="1" a="1"/>
  <c r="P480" i="1" s="1" a="1"/>
  <c r="O481" i="1" a="1"/>
  <c r="P481" i="1" s="1" a="1"/>
  <c r="O482" i="1" a="1"/>
  <c r="P482" i="1" s="1" a="1"/>
  <c r="O483" i="1" a="1"/>
  <c r="P483" i="1" s="1" a="1"/>
  <c r="O484" i="1" a="1"/>
  <c r="P484" i="1" s="1" a="1"/>
  <c r="O485" i="1" a="1"/>
  <c r="P485" i="1" s="1" a="1"/>
  <c r="O486" i="1" a="1"/>
  <c r="P486" i="1" s="1" a="1"/>
  <c r="O487" i="1" a="1"/>
  <c r="P487" i="1" s="1" a="1"/>
  <c r="O488" i="1" a="1"/>
  <c r="P488" i="1" s="1" a="1"/>
  <c r="O489" i="1" a="1"/>
  <c r="P489" i="1" s="1" a="1"/>
  <c r="O490" i="1" a="1"/>
  <c r="P490" i="1" s="1" a="1"/>
  <c r="O491" i="1" a="1"/>
  <c r="P491" i="1" s="1" a="1"/>
  <c r="O492" i="1" a="1"/>
  <c r="P492" i="1" s="1" a="1"/>
  <c r="O493" i="1" a="1"/>
  <c r="P493" i="1" s="1" a="1"/>
  <c r="O494" i="1" a="1"/>
  <c r="P494" i="1" s="1" a="1"/>
  <c r="O495" i="1" a="1"/>
  <c r="P495" i="1" s="1" a="1"/>
  <c r="O496" i="1" a="1"/>
  <c r="P496" i="1" s="1" a="1"/>
  <c r="O497" i="1" a="1"/>
  <c r="P497" i="1" s="1" a="1"/>
  <c r="O498" i="1" a="1"/>
  <c r="P498" i="1" s="1" a="1"/>
  <c r="O499" i="1" a="1"/>
  <c r="P499" i="1" s="1" a="1"/>
  <c r="O500" i="1" a="1"/>
  <c r="P500" i="1" s="1" a="1"/>
  <c r="O501" i="1" a="1"/>
  <c r="P501" i="1" s="1" a="1"/>
  <c r="O502" i="1" a="1"/>
  <c r="P502" i="1" s="1" a="1"/>
  <c r="O503" i="1" a="1"/>
  <c r="P503" i="1" s="1" a="1"/>
  <c r="O504" i="1" a="1"/>
  <c r="P504" i="1" s="1" a="1"/>
  <c r="O505" i="1" a="1"/>
  <c r="P505" i="1" s="1" a="1"/>
  <c r="O506" i="1" a="1"/>
  <c r="P506" i="1" s="1" a="1"/>
  <c r="O507" i="1" a="1"/>
  <c r="P507" i="1" s="1" a="1"/>
  <c r="O508" i="1" a="1"/>
  <c r="P508" i="1" s="1" a="1"/>
  <c r="O509" i="1" a="1"/>
  <c r="P509" i="1" s="1" a="1"/>
  <c r="O510" i="1" a="1"/>
  <c r="P510" i="1" s="1" a="1"/>
  <c r="O511" i="1" a="1"/>
  <c r="P511" i="1" s="1" a="1"/>
  <c r="O512" i="1" a="1"/>
  <c r="P512" i="1" s="1" a="1"/>
  <c r="O513" i="1" a="1"/>
  <c r="P513" i="1" s="1" a="1"/>
  <c r="O514" i="1" a="1"/>
  <c r="P514" i="1" s="1" a="1"/>
  <c r="O515" i="1" a="1"/>
  <c r="P515" i="1" s="1" a="1"/>
  <c r="O516" i="1" a="1"/>
  <c r="P516" i="1" s="1" a="1"/>
  <c r="O517" i="1" a="1"/>
  <c r="P517" i="1" s="1" a="1"/>
  <c r="O518" i="1" a="1"/>
  <c r="P518" i="1" s="1" a="1"/>
  <c r="O519" i="1" a="1"/>
  <c r="P519" i="1" s="1" a="1"/>
  <c r="O520" i="1" a="1"/>
  <c r="P520" i="1" s="1" a="1"/>
  <c r="O521" i="1" a="1"/>
  <c r="P521" i="1" s="1" a="1"/>
  <c r="O522" i="1" a="1"/>
  <c r="P522" i="1" s="1" a="1"/>
  <c r="O523" i="1" a="1"/>
  <c r="P523" i="1" s="1" a="1"/>
  <c r="O524" i="1" a="1"/>
  <c r="P524" i="1" s="1" a="1"/>
  <c r="O525" i="1" a="1"/>
  <c r="P525" i="1" s="1" a="1"/>
  <c r="O526" i="1" a="1"/>
  <c r="P526" i="1" s="1" a="1"/>
  <c r="O527" i="1" a="1"/>
  <c r="P527" i="1" s="1" a="1"/>
  <c r="O528" i="1" a="1"/>
  <c r="P528" i="1" s="1" a="1"/>
  <c r="O529" i="1" a="1"/>
  <c r="P529" i="1" s="1" a="1"/>
  <c r="O530" i="1" a="1"/>
  <c r="P530" i="1" s="1" a="1"/>
  <c r="O531" i="1" a="1"/>
  <c r="P531" i="1" s="1" a="1"/>
  <c r="O532" i="1" a="1"/>
  <c r="P532" i="1" s="1" a="1"/>
  <c r="O533" i="1" a="1"/>
  <c r="P533" i="1" s="1" a="1"/>
  <c r="O534" i="1" a="1"/>
  <c r="P534" i="1" s="1" a="1"/>
  <c r="O535" i="1" a="1"/>
  <c r="P535" i="1" s="1" a="1"/>
  <c r="O536" i="1" a="1"/>
  <c r="P536" i="1" s="1" a="1"/>
  <c r="O537" i="1" a="1"/>
  <c r="P537" i="1" s="1" a="1"/>
  <c r="O538" i="1" a="1"/>
  <c r="P538" i="1" s="1" a="1"/>
  <c r="O539" i="1" a="1"/>
  <c r="P539" i="1" s="1" a="1"/>
  <c r="O540" i="1" a="1"/>
  <c r="P540" i="1" s="1" a="1"/>
  <c r="O541" i="1" a="1"/>
  <c r="P541" i="1" s="1" a="1"/>
  <c r="O542" i="1" a="1"/>
  <c r="P542" i="1" s="1" a="1"/>
  <c r="O543" i="1" a="1"/>
  <c r="P543" i="1" s="1" a="1"/>
  <c r="O544" i="1" a="1"/>
  <c r="P544" i="1" s="1" a="1"/>
  <c r="O545" i="1" a="1"/>
  <c r="P545" i="1" s="1" a="1"/>
  <c r="O546" i="1" a="1"/>
  <c r="P546" i="1" s="1" a="1"/>
  <c r="O547" i="1" a="1"/>
  <c r="P547" i="1" s="1" a="1"/>
  <c r="O548" i="1" a="1"/>
  <c r="P548" i="1" s="1" a="1"/>
  <c r="O549" i="1" a="1"/>
  <c r="P549" i="1" s="1" a="1"/>
  <c r="O550" i="1" a="1"/>
  <c r="P550" i="1" s="1" a="1"/>
  <c r="O551" i="1" a="1"/>
  <c r="P551" i="1" s="1" a="1"/>
  <c r="O552" i="1" a="1"/>
  <c r="P552" i="1" s="1" a="1"/>
  <c r="O553" i="1" a="1"/>
  <c r="P553" i="1" s="1" a="1"/>
  <c r="O554" i="1" a="1"/>
  <c r="P554" i="1" s="1" a="1"/>
  <c r="O555" i="1" a="1"/>
  <c r="P555" i="1" s="1" a="1"/>
  <c r="O556" i="1" a="1"/>
  <c r="P556" i="1" s="1" a="1"/>
  <c r="O557" i="1" a="1"/>
  <c r="P557" i="1" s="1" a="1"/>
  <c r="O558" i="1" a="1"/>
  <c r="P558" i="1" s="1" a="1"/>
  <c r="O559" i="1" a="1"/>
  <c r="P559" i="1" s="1" a="1"/>
  <c r="O560" i="1" a="1"/>
  <c r="P560" i="1" s="1" a="1"/>
  <c r="O561" i="1" a="1"/>
  <c r="P561" i="1" s="1" a="1"/>
  <c r="O562" i="1" a="1"/>
  <c r="P562" i="1" s="1" a="1"/>
  <c r="O563" i="1" a="1"/>
  <c r="P563" i="1" s="1" a="1"/>
  <c r="O564" i="1" a="1"/>
  <c r="P564" i="1" s="1" a="1"/>
  <c r="O565" i="1" a="1"/>
  <c r="P565" i="1" s="1" a="1"/>
  <c r="O566" i="1" a="1"/>
  <c r="P566" i="1" s="1" a="1"/>
  <c r="O567" i="1" a="1"/>
  <c r="P567" i="1" s="1" a="1"/>
  <c r="O568" i="1" a="1"/>
  <c r="P568" i="1" s="1" a="1"/>
  <c r="O569" i="1" a="1"/>
  <c r="P569" i="1" s="1" a="1"/>
  <c r="O570" i="1" a="1"/>
  <c r="P570" i="1" s="1" a="1"/>
  <c r="O571" i="1" a="1"/>
  <c r="P571" i="1" s="1" a="1"/>
  <c r="O572" i="1" a="1"/>
  <c r="P572" i="1" s="1" a="1"/>
  <c r="O573" i="1" a="1"/>
  <c r="P573" i="1" s="1" a="1"/>
  <c r="O574" i="1" a="1"/>
  <c r="P574" i="1" s="1" a="1"/>
  <c r="O575" i="1" a="1"/>
  <c r="P575" i="1" s="1" a="1"/>
  <c r="O576" i="1" a="1"/>
  <c r="P576" i="1" s="1" a="1"/>
  <c r="O577" i="1" a="1"/>
  <c r="P577" i="1" s="1" a="1"/>
  <c r="O578" i="1" a="1"/>
  <c r="P578" i="1" s="1" a="1"/>
  <c r="O579" i="1" a="1"/>
  <c r="P579" i="1" s="1" a="1"/>
  <c r="O580" i="1" a="1"/>
  <c r="P580" i="1" s="1" a="1"/>
  <c r="O581" i="1" a="1"/>
  <c r="P581" i="1" s="1" a="1"/>
  <c r="O582" i="1" a="1"/>
  <c r="P582" i="1" s="1" a="1"/>
  <c r="O583" i="1" a="1"/>
  <c r="P583" i="1" s="1" a="1"/>
  <c r="O584" i="1" a="1"/>
  <c r="P584" i="1" s="1" a="1"/>
  <c r="O585" i="1" a="1"/>
  <c r="P585" i="1" s="1" a="1"/>
  <c r="O586" i="1" a="1"/>
  <c r="P586" i="1" s="1" a="1"/>
  <c r="O587" i="1" a="1"/>
  <c r="P587" i="1" s="1" a="1"/>
  <c r="O588" i="1" a="1"/>
  <c r="P588" i="1" s="1" a="1"/>
  <c r="O589" i="1" a="1"/>
  <c r="P589" i="1" s="1" a="1"/>
  <c r="O590" i="1" a="1"/>
  <c r="P590" i="1" s="1" a="1"/>
  <c r="O591" i="1" a="1"/>
  <c r="P591" i="1" s="1" a="1"/>
  <c r="O592" i="1" a="1"/>
  <c r="P592" i="1" s="1" a="1"/>
  <c r="O593" i="1" a="1"/>
  <c r="P593" i="1" s="1" a="1"/>
  <c r="O594" i="1" a="1"/>
  <c r="P594" i="1" s="1" a="1"/>
  <c r="O595" i="1" a="1"/>
  <c r="P595" i="1" s="1" a="1"/>
  <c r="O596" i="1" a="1"/>
  <c r="P596" i="1" s="1" a="1"/>
  <c r="O597" i="1" a="1"/>
  <c r="P597" i="1" s="1" a="1"/>
  <c r="O598" i="1" a="1"/>
  <c r="P598" i="1" s="1" a="1"/>
  <c r="O599" i="1" a="1"/>
  <c r="P599" i="1" s="1" a="1"/>
  <c r="O600" i="1" a="1"/>
  <c r="P600" i="1" s="1" a="1"/>
  <c r="O601" i="1" a="1"/>
  <c r="P601" i="1" s="1" a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J6" i="3" l="1"/>
  <c r="P2" i="1" a="1"/>
  <c r="G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<sst xmlns="http://schemas.openxmlformats.org/spreadsheetml/2006/main" count="3093" uniqueCount="386">
  <si>
    <t>TOTAL ACTIVE MRR</t>
  </si>
  <si>
    <t>GROSS CHURN RATE</t>
  </si>
  <si>
    <t>TOTAL REVENUE AT RISK</t>
  </si>
  <si>
    <t>AVG ENTERPRISE LTV</t>
  </si>
  <si>
    <t>Sum of Monthly_Revenue</t>
  </si>
  <si>
    <t>Risk_Level</t>
  </si>
  <si>
    <t>Industry</t>
  </si>
  <si>
    <t>CRITICAL RISK</t>
  </si>
  <si>
    <t>HEALTHY</t>
  </si>
  <si>
    <t>MODERATE RISK</t>
  </si>
  <si>
    <t>Grand Total</t>
  </si>
  <si>
    <t>E-Commerce</t>
  </si>
  <si>
    <t>Enterprise Tech</t>
  </si>
  <si>
    <t>Fintech</t>
  </si>
  <si>
    <t>Healthcare</t>
  </si>
  <si>
    <t>Logistics</t>
  </si>
  <si>
    <t>Average of Support_Tickets_30D</t>
  </si>
  <si>
    <t>Account_ID</t>
  </si>
  <si>
    <t>Client_Name</t>
  </si>
  <si>
    <t>Signup_Date</t>
  </si>
  <si>
    <t>Contract_Type</t>
  </si>
  <si>
    <t>Monthly_Revenue</t>
  </si>
  <si>
    <t>Account_Status</t>
  </si>
  <si>
    <t>Churn_Date</t>
  </si>
  <si>
    <t>Support_Tickets_30D</t>
  </si>
  <si>
    <t>region</t>
  </si>
  <si>
    <t>Contient</t>
  </si>
  <si>
    <t>SUB-REGION</t>
  </si>
  <si>
    <t>Tenure_Months</t>
  </si>
  <si>
    <t>Life Time Value</t>
  </si>
  <si>
    <t xml:space="preserve">MRR Loss </t>
  </si>
  <si>
    <t>Rhynoodle</t>
  </si>
  <si>
    <t>Multi-Year</t>
  </si>
  <si>
    <t>Churned</t>
  </si>
  <si>
    <t>APAC-SGP</t>
  </si>
  <si>
    <t>Fivebridge</t>
  </si>
  <si>
    <t>Active</t>
  </si>
  <si>
    <t>MEA-EGY</t>
  </si>
  <si>
    <t>Yacero</t>
  </si>
  <si>
    <t>Monthly</t>
  </si>
  <si>
    <t>Skidoo</t>
  </si>
  <si>
    <t>Annual</t>
  </si>
  <si>
    <t>At-Risk</t>
  </si>
  <si>
    <t>Camido</t>
  </si>
  <si>
    <t>Quatz</t>
  </si>
  <si>
    <t>EU-CENTRAL</t>
  </si>
  <si>
    <t>Blognation</t>
  </si>
  <si>
    <t>NA-WEST</t>
  </si>
  <si>
    <t>Linktype</t>
  </si>
  <si>
    <t>Pending Renewal</t>
  </si>
  <si>
    <t>Thoughtbridge</t>
  </si>
  <si>
    <t>NA-EAST</t>
  </si>
  <si>
    <t>Zoovu</t>
  </si>
  <si>
    <t>Brainbox</t>
  </si>
  <si>
    <t>Quimba</t>
  </si>
  <si>
    <t>Minyx</t>
  </si>
  <si>
    <t>Ooba</t>
  </si>
  <si>
    <t>Trudoo</t>
  </si>
  <si>
    <t>Kaymbo</t>
  </si>
  <si>
    <t>Meembee</t>
  </si>
  <si>
    <t>Skyndu</t>
  </si>
  <si>
    <t>Voolith</t>
  </si>
  <si>
    <t>Wikibox</t>
  </si>
  <si>
    <t>Zoomdog</t>
  </si>
  <si>
    <t>Babblestorm</t>
  </si>
  <si>
    <t>Abatz</t>
  </si>
  <si>
    <t>Zoombeat</t>
  </si>
  <si>
    <t>Edgeblab</t>
  </si>
  <si>
    <t>Npath</t>
  </si>
  <si>
    <t>Gigaclub</t>
  </si>
  <si>
    <t>Gigazoom</t>
  </si>
  <si>
    <t>Jayo</t>
  </si>
  <si>
    <t>Blogpad</t>
  </si>
  <si>
    <t>Devshare</t>
  </si>
  <si>
    <t>Rhyloo</t>
  </si>
  <si>
    <t>Trilith</t>
  </si>
  <si>
    <t>Twimm</t>
  </si>
  <si>
    <t>Jazzy</t>
  </si>
  <si>
    <t>Lajo</t>
  </si>
  <si>
    <t>Twimbo</t>
  </si>
  <si>
    <t>Chatterbridge</t>
  </si>
  <si>
    <t>Zooxo</t>
  </si>
  <si>
    <t>Jaxbean</t>
  </si>
  <si>
    <t>Topiczoom</t>
  </si>
  <si>
    <t>Dabtype</t>
  </si>
  <si>
    <t>Gabtune</t>
  </si>
  <si>
    <t>Gabtype</t>
  </si>
  <si>
    <t>Jaxspan</t>
  </si>
  <si>
    <t>Oyoba</t>
  </si>
  <si>
    <t>Riffpath</t>
  </si>
  <si>
    <t>Thoughtstorm</t>
  </si>
  <si>
    <t>Topicshots</t>
  </si>
  <si>
    <t>Zazio</t>
  </si>
  <si>
    <t>Shufflebeat</t>
  </si>
  <si>
    <t>Twinder</t>
  </si>
  <si>
    <t>Jamia</t>
  </si>
  <si>
    <t>Trilia</t>
  </si>
  <si>
    <t>Quinu</t>
  </si>
  <si>
    <t>Flashset</t>
  </si>
  <si>
    <t>Gabvine</t>
  </si>
  <si>
    <t>Babbleset</t>
  </si>
  <si>
    <t>Voonte</t>
  </si>
  <si>
    <t>Voomm</t>
  </si>
  <si>
    <t>Meemm</t>
  </si>
  <si>
    <t>Izio</t>
  </si>
  <si>
    <t>Twitterworks</t>
  </si>
  <si>
    <t>Ailane</t>
  </si>
  <si>
    <t>Yakidoo</t>
  </si>
  <si>
    <t>Kwimbee</t>
  </si>
  <si>
    <t>Mudo</t>
  </si>
  <si>
    <t>Skippad</t>
  </si>
  <si>
    <t>Rhynyx</t>
  </si>
  <si>
    <t>Gevee</t>
  </si>
  <si>
    <t>Ainyx</t>
  </si>
  <si>
    <t>Buzzshare</t>
  </si>
  <si>
    <t>Skiptube</t>
  </si>
  <si>
    <t>Devify</t>
  </si>
  <si>
    <t>Myworks</t>
  </si>
  <si>
    <t>Abata</t>
  </si>
  <si>
    <t>Wikido</t>
  </si>
  <si>
    <t>Skynoodle</t>
  </si>
  <si>
    <t>Fivechat</t>
  </si>
  <si>
    <t>Roodel</t>
  </si>
  <si>
    <t>Topicware</t>
  </si>
  <si>
    <t>Oyope</t>
  </si>
  <si>
    <t>Skipfire</t>
  </si>
  <si>
    <t>Flipbug</t>
  </si>
  <si>
    <t>Feednation</t>
  </si>
  <si>
    <t>Demizz</t>
  </si>
  <si>
    <t>Demimbu</t>
  </si>
  <si>
    <t>Ozu</t>
  </si>
  <si>
    <t>Yakitri</t>
  </si>
  <si>
    <t>JumpXS</t>
  </si>
  <si>
    <t>Bubbletube</t>
  </si>
  <si>
    <t>Topdrive</t>
  </si>
  <si>
    <t>Wikizz</t>
  </si>
  <si>
    <t>Thoughtbeat</t>
  </si>
  <si>
    <t>Meevee</t>
  </si>
  <si>
    <t>Dablist</t>
  </si>
  <si>
    <t>Oyonder</t>
  </si>
  <si>
    <t>Tagfeed</t>
  </si>
  <si>
    <t>Flashpoint</t>
  </si>
  <si>
    <t>Innojam</t>
  </si>
  <si>
    <t>Kanoodle</t>
  </si>
  <si>
    <t>Tazz</t>
  </si>
  <si>
    <t>Skaboo</t>
  </si>
  <si>
    <t>Oodoo</t>
  </si>
  <si>
    <t>Aivee</t>
  </si>
  <si>
    <t>Midel</t>
  </si>
  <si>
    <t>Jabbersphere</t>
  </si>
  <si>
    <t>Fliptune</t>
  </si>
  <si>
    <t>Realmix</t>
  </si>
  <si>
    <t>Jaxnation</t>
  </si>
  <si>
    <t>Babbleblab</t>
  </si>
  <si>
    <t>Quimm</t>
  </si>
  <si>
    <t>Avavee</t>
  </si>
  <si>
    <t>Cogibox</t>
  </si>
  <si>
    <t>Photolist</t>
  </si>
  <si>
    <t>Skalith</t>
  </si>
  <si>
    <t>Centidel</t>
  </si>
  <si>
    <t>Livetube</t>
  </si>
  <si>
    <t>Flipopia</t>
  </si>
  <si>
    <t>Wikivu</t>
  </si>
  <si>
    <t>Jaxworks</t>
  </si>
  <si>
    <t>Flashspan</t>
  </si>
  <si>
    <t>Vinder</t>
  </si>
  <si>
    <t>Pixope</t>
  </si>
  <si>
    <t>Skivee</t>
  </si>
  <si>
    <t>Linklinks</t>
  </si>
  <si>
    <t>Kamba</t>
  </si>
  <si>
    <t>Eayo</t>
  </si>
  <si>
    <t>Gabcube</t>
  </si>
  <si>
    <t>Tagchat</t>
  </si>
  <si>
    <t>Jabberbean</t>
  </si>
  <si>
    <t>Linkbridge</t>
  </si>
  <si>
    <t>Bubblemix</t>
  </si>
  <si>
    <t>Realblab</t>
  </si>
  <si>
    <t>Riffwire</t>
  </si>
  <si>
    <t>Youspan</t>
  </si>
  <si>
    <t>Pixonyx</t>
  </si>
  <si>
    <t>Voolia</t>
  </si>
  <si>
    <t>Eire</t>
  </si>
  <si>
    <t>Einti</t>
  </si>
  <si>
    <t>Muxo</t>
  </si>
  <si>
    <t>Mynte</t>
  </si>
  <si>
    <t>Yodel</t>
  </si>
  <si>
    <t>Kare</t>
  </si>
  <si>
    <t>Twitterlist</t>
  </si>
  <si>
    <t>Camimbo</t>
  </si>
  <si>
    <t>Fiveclub</t>
  </si>
  <si>
    <t>Browsedrive</t>
  </si>
  <si>
    <t>Realbridge</t>
  </si>
  <si>
    <t>Fadeo</t>
  </si>
  <si>
    <t>Vidoo</t>
  </si>
  <si>
    <t>Thoughtworks</t>
  </si>
  <si>
    <t>Voonyx</t>
  </si>
  <si>
    <t>Jabbertype</t>
  </si>
  <si>
    <t>Devbug</t>
  </si>
  <si>
    <t>Kimia</t>
  </si>
  <si>
    <t>Zava</t>
  </si>
  <si>
    <t>Avaveo</t>
  </si>
  <si>
    <t>Oba</t>
  </si>
  <si>
    <t>Teklist</t>
  </si>
  <si>
    <t>Latz</t>
  </si>
  <si>
    <t>Buzzdog</t>
  </si>
  <si>
    <t>Meezzy</t>
  </si>
  <si>
    <t>Edgepulse</t>
  </si>
  <si>
    <t>Yabox</t>
  </si>
  <si>
    <t>Eadel</t>
  </si>
  <si>
    <t>Yodo</t>
  </si>
  <si>
    <t>Quamba</t>
  </si>
  <si>
    <t>Kwilith</t>
  </si>
  <si>
    <t>Kazio</t>
  </si>
  <si>
    <t>Vimbo</t>
  </si>
  <si>
    <t>Devcast</t>
  </si>
  <si>
    <t>Realcube</t>
  </si>
  <si>
    <t>Yata</t>
  </si>
  <si>
    <t>Eamia</t>
  </si>
  <si>
    <t>Voonix</t>
  </si>
  <si>
    <t>Leenti</t>
  </si>
  <si>
    <t>Dabfeed</t>
  </si>
  <si>
    <t>Jetwire</t>
  </si>
  <si>
    <t>Yamia</t>
  </si>
  <si>
    <t>Dabjam</t>
  </si>
  <si>
    <t>Reallinks</t>
  </si>
  <si>
    <t>Eare</t>
  </si>
  <si>
    <t>Topiclounge</t>
  </si>
  <si>
    <t>Thoughtmix</t>
  </si>
  <si>
    <t>Oyoyo</t>
  </si>
  <si>
    <t>Fatz</t>
  </si>
  <si>
    <t>Livefish</t>
  </si>
  <si>
    <t>Layo</t>
  </si>
  <si>
    <t>Realfire</t>
  </si>
  <si>
    <t>Photobean</t>
  </si>
  <si>
    <t>Photofeed</t>
  </si>
  <si>
    <t>Feedmix</t>
  </si>
  <si>
    <t>Jabberstorm</t>
  </si>
  <si>
    <t>Vinte</t>
  </si>
  <si>
    <t>Twinte</t>
  </si>
  <si>
    <t>Dynabox</t>
  </si>
  <si>
    <t>Edgeify</t>
  </si>
  <si>
    <t>Skibox</t>
  </si>
  <si>
    <t>Trudeo</t>
  </si>
  <si>
    <t>Kayveo</t>
  </si>
  <si>
    <t>Browseblab</t>
  </si>
  <si>
    <t>Tagcat</t>
  </si>
  <si>
    <t>Leexo</t>
  </si>
  <si>
    <t>Quaxo</t>
  </si>
  <si>
    <t>Yadel</t>
  </si>
  <si>
    <t>Oozz</t>
  </si>
  <si>
    <t>Skyba</t>
  </si>
  <si>
    <t>InnoZ</t>
  </si>
  <si>
    <t>Cogidoo</t>
  </si>
  <si>
    <t>Mydo</t>
  </si>
  <si>
    <t>Lazz</t>
  </si>
  <si>
    <t>Rhycero</t>
  </si>
  <si>
    <t>Blogspan</t>
  </si>
  <si>
    <t>Tagpad</t>
  </si>
  <si>
    <t>Yoveo</t>
  </si>
  <si>
    <t>Twitternation</t>
  </si>
  <si>
    <t>Divape</t>
  </si>
  <si>
    <t>Kwinu</t>
  </si>
  <si>
    <t>Mycat</t>
  </si>
  <si>
    <t>Shuffletag</t>
  </si>
  <si>
    <t>Zooveo</t>
  </si>
  <si>
    <t>Edgeclub</t>
  </si>
  <si>
    <t>Blogtag</t>
  </si>
  <si>
    <t>Mydeo</t>
  </si>
  <si>
    <t>Thoughtblab</t>
  </si>
  <si>
    <t>Devpoint</t>
  </si>
  <si>
    <t>Mita</t>
  </si>
  <si>
    <t>Rhybox</t>
  </si>
  <si>
    <t>Eidel</t>
  </si>
  <si>
    <t>Skiba</t>
  </si>
  <si>
    <t>Wordpedia</t>
  </si>
  <si>
    <t>Babbleopia</t>
  </si>
  <si>
    <t>Browsebug</t>
  </si>
  <si>
    <t>Katz</t>
  </si>
  <si>
    <t>Wordtune</t>
  </si>
  <si>
    <t>Yakijo</t>
  </si>
  <si>
    <t>Bubblebox</t>
  </si>
  <si>
    <t>Gigashots</t>
  </si>
  <si>
    <t>Aibox</t>
  </si>
  <si>
    <t>Centimia</t>
  </si>
  <si>
    <t>Mymm</t>
  </si>
  <si>
    <t>Skinix</t>
  </si>
  <si>
    <t>Jaloo</t>
  </si>
  <si>
    <t>Dynava</t>
  </si>
  <si>
    <t>Tavu</t>
  </si>
  <si>
    <t>Gabspot</t>
  </si>
  <si>
    <t>Skilith</t>
  </si>
  <si>
    <t>Rhyzio</t>
  </si>
  <si>
    <t>Jabbercube</t>
  </si>
  <si>
    <t>Twiyo</t>
  </si>
  <si>
    <t>Brainsphere</t>
  </si>
  <si>
    <t>Gigabox</t>
  </si>
  <si>
    <t>Photobug</t>
  </si>
  <si>
    <t>Tanoodle</t>
  </si>
  <si>
    <t>Photojam</t>
  </si>
  <si>
    <t>Viva</t>
  </si>
  <si>
    <t>Roomm</t>
  </si>
  <si>
    <t>Zoomzone</t>
  </si>
  <si>
    <t>Chatterpoint</t>
  </si>
  <si>
    <t>Dynazzy</t>
  </si>
  <si>
    <t>Tekfly</t>
  </si>
  <si>
    <t>Janyx</t>
  </si>
  <si>
    <t>Livepath</t>
  </si>
  <si>
    <t>Thoughtsphere</t>
  </si>
  <si>
    <t>Podcat</t>
  </si>
  <si>
    <t>Talane</t>
  </si>
  <si>
    <t>Youopia</t>
  </si>
  <si>
    <t>Flashdog</t>
  </si>
  <si>
    <t>Kazu</t>
  </si>
  <si>
    <t>Buzzster</t>
  </si>
  <si>
    <t>Photospace</t>
  </si>
  <si>
    <t>Tagtune</t>
  </si>
  <si>
    <t>Avamba</t>
  </si>
  <si>
    <t>Omba</t>
  </si>
  <si>
    <t>Mybuzz</t>
  </si>
  <si>
    <t>Miboo</t>
  </si>
  <si>
    <t>Yotz</t>
  </si>
  <si>
    <t>Geba</t>
  </si>
  <si>
    <t>Brightbean</t>
  </si>
  <si>
    <t>Yozio</t>
  </si>
  <si>
    <t>Topicstorm</t>
  </si>
  <si>
    <t>Zoomlounge</t>
  </si>
  <si>
    <t>Skipstorm</t>
  </si>
  <si>
    <t>Tazzy</t>
  </si>
  <si>
    <t>Ntags</t>
  </si>
  <si>
    <t>Quire</t>
  </si>
  <si>
    <t>Topicblab</t>
  </si>
  <si>
    <t>Riffpedia</t>
  </si>
  <si>
    <t>Centizu</t>
  </si>
  <si>
    <t>Browsetype</t>
  </si>
  <si>
    <t>Zoozzy</t>
  </si>
  <si>
    <t>Skajo</t>
  </si>
  <si>
    <t>================================================================================</t>
  </si>
  <si>
    <t>PROJECT OVERVIEW: SAAS REVENUE RETENTION &amp; CHURN AUDIT</t>
  </si>
  <si>
    <t>Author: Business Analytics Portfolio</t>
  </si>
  <si>
    <t>Dataset: 600 B2B SaaS Accounts | Scope: Retention &amp; Risk Scoring</t>
  </si>
  <si>
    <t>1. EXECUTIVE SUMMARY &amp; BUSINESS GOALS</t>
  </si>
  <si>
    <t>--------------------------------------------------------------------------------</t>
  </si>
  <si>
    <t>The main goal of this audit is to figure out why customers are cancelling their</t>
  </si>
  <si>
    <t xml:space="preserve">subscriptions (churning) and how much money the business is losing because of it. </t>
  </si>
  <si>
    <t xml:space="preserve">In B2B SaaS, keeping existing clients is way cheaper than acquiring new ones. By </t>
  </si>
  <si>
    <t xml:space="preserve">analyzing account status, support ticket volume, and contract types, this audit </t>
  </si>
  <si>
    <t xml:space="preserve">builds an early-warning risk scorecard to flag vulnerable accounts before they </t>
  </si>
  <si>
    <t>actually cancel.</t>
  </si>
  <si>
    <t>Key Questions Answered:</t>
  </si>
  <si>
    <t>- How much monthly recurring revenue (MRR) is currently at risk?</t>
  </si>
  <si>
    <t>- What operational problems (like support ticket overload) drive customer churn?</t>
  </si>
  <si>
    <t>- Which industries carry the highest financial exposure?</t>
  </si>
  <si>
    <t>2. DATA ENGINE &amp; CALCULATED LOGIC (03_Data_Engine)</t>
  </si>
  <si>
    <t>To analyze the 600 raw accounts, several dynamic Excel formulas were created:</t>
  </si>
  <si>
    <t>A. Code &amp; Region Splitting:</t>
  </si>
  <si>
    <t xml:space="preserve">   Used TEXTBEFORE and TEXTAFTER to parse combined string codes (e.g., "NA-WEST-101") </t>
  </si>
  <si>
    <t xml:space="preserve">   into clean categorical variables for Regional and Sub-Regional analysis.</t>
  </si>
  <si>
    <t>B. Account Tenure (Months):</t>
  </si>
  <si>
    <t xml:space="preserve">   Calculated the total lifetime of an account using year and month math to stay </t>
  </si>
  <si>
    <t xml:space="preserve">   100% compatible with Excel for the Web:</t>
  </si>
  <si>
    <t xml:space="preserve">   =(YEAR(End_Date) - YEAR(Start_Date)) * 12 + (MONTH(End_Date) - MONTH(Start_Date))</t>
  </si>
  <si>
    <t>C. Churn Risk Scorecard (Nested IFS / AND / OR Logic):</t>
  </si>
  <si>
    <t xml:space="preserve">   Classified every account into a clear operational risk category:</t>
  </si>
  <si>
    <t xml:space="preserve">   - CRITICAL RISK : "At-Risk" status AND &gt;10 support tickets in 30 days.</t>
  </si>
  <si>
    <t xml:space="preserve">   - MODERATE RISK : 5 to 10 support tickets OR "Pending Renewal" status.</t>
  </si>
  <si>
    <t xml:space="preserve">   - HEALTHY       : Standard active accounts with low ticket volume (&lt;5 tickets).</t>
  </si>
  <si>
    <t>D. Financial Exposure Metrics:</t>
  </si>
  <si>
    <t xml:space="preserve">   - LTV (Lifetime Value): Monthly Revenue * Tenure Months.</t>
  </si>
  <si>
    <t xml:space="preserve">   - MRR Loss Exposure   : Calculated annualized revenue loss for Critical and Churned accounts.</t>
  </si>
  <si>
    <t>3. KEY FINDINGS &amp; BUSINESS TAKEAWAYS</t>
  </si>
  <si>
    <t>1. Support Ticket Volume is the #1 Churn Driver:</t>
  </si>
  <si>
    <t xml:space="preserve">   Accounts tagged as Critical Risk averaged over 10 support tickets in the last 30 </t>
  </si>
  <si>
    <t xml:space="preserve">   days, compared to less than 3 tickets for Healthy accounts. Unresolved technical </t>
  </si>
  <si>
    <t xml:space="preserve">   issues are directly killing retention.</t>
  </si>
  <si>
    <t>2. Enterprise Tech Has the Highest Exposure:</t>
  </si>
  <si>
    <t xml:space="preserve">   While small accounts churn frequently, the financial loss is concentrated heavily </t>
  </si>
  <si>
    <t xml:space="preserve">   in Enterprise Tech due to high average contract values.</t>
  </si>
  <si>
    <t>3. Actionable Strategy for Revenue Ops:</t>
  </si>
  <si>
    <t xml:space="preserve">   Customer Success teams should automatically prioritize accounts reaching 5+ </t>
  </si>
  <si>
    <t xml:space="preserve">   support tickets or entering a renewal window, saving critical MRR before </t>
  </si>
  <si>
    <t xml:space="preserve">   cancellation occurs.</t>
  </si>
  <si>
    <t>4. WORKBOOK STRUCTURE</t>
  </si>
  <si>
    <t>- 01_Executive_Summary : High-level KPI callout cards and executive PivotCharts.</t>
  </si>
  <si>
    <t>- 02_Cohort_Analytics  : Dynamic Pivot Tables aggregating risk by industry and tickets.</t>
  </si>
  <si>
    <t>- 03_Data_Engine       : Cleaned raw dataset with all automated logic and formulas.</t>
  </si>
  <si>
    <t>- 04_Documentation     : Project overview, business logic, and methodology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</si>
</sst>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2" tint="-0.499984740745262"/>
      <name val="Segoe UI"/>
    </font>
    <font>
      <sz val="18"/>
      <color theme="1"/>
      <name val="Calibri"/>
      <family val="2"/>
      <scheme val="minor"/>
    </font>
    <font>
      <sz val="18"/>
      <color theme="8" tint="-0.499984740745262"/>
      <name val="Segoe UI"/>
    </font>
    <font>
      <sz val="18"/>
      <color theme="5" tint="-0.499984740745262"/>
      <name val="Segoe U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NumberFormat="1" applyBorder="1"/>
    <xf numFmtId="0" fontId="0" fillId="0" borderId="12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165" fontId="0" fillId="0" borderId="10" xfId="0" applyNumberFormat="1" applyBorder="1"/>
    <xf numFmtId="0" fontId="0" fillId="33" borderId="0" xfId="0" applyFill="1" applyBorder="1"/>
    <xf numFmtId="0" fontId="18" fillId="33" borderId="0" xfId="0" applyFont="1" applyFill="1" applyBorder="1"/>
    <xf numFmtId="164" fontId="20" fillId="33" borderId="0" xfId="0" applyNumberFormat="1" applyFont="1" applyFill="1" applyBorder="1"/>
    <xf numFmtId="0" fontId="20" fillId="33" borderId="0" xfId="0" applyFont="1" applyFill="1" applyBorder="1"/>
    <xf numFmtId="10" fontId="21" fillId="33" borderId="0" xfId="0" applyNumberFormat="1" applyFont="1" applyFill="1" applyBorder="1"/>
    <xf numFmtId="0" fontId="21" fillId="33" borderId="0" xfId="0" applyFont="1" applyFill="1" applyBorder="1"/>
    <xf numFmtId="164" fontId="21" fillId="33" borderId="0" xfId="0" applyNumberFormat="1" applyFont="1" applyFill="1" applyBorder="1"/>
    <xf numFmtId="0" fontId="19" fillId="33" borderId="0" xfId="0" applyFont="1" applyFill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64" formatCode="[$$-409]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$-409]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$-409]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0.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[MOCK_DATA (2) 1 1.xlsx]02_Cohort_Analytics!PivotTable1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'02_Cohort_Analytics'!$B$3:$B$4</c:f>
              <c:strCache>
                <c:ptCount val="1"/>
                <c:pt idx="0">
                  <c:v>CRITICAL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'02_Cohort_Analytics'!$A$5:$A$10</c:f>
              <c:strCache>
                <c:ptCount val="5"/>
                <c:pt idx="0">
                  <c:v>E-Commerce</c:v>
                </c:pt>
                <c:pt idx="1">
                  <c:v>Enterprise Tech</c:v>
                </c:pt>
                <c:pt idx="2">
                  <c:v>Fintech</c:v>
                </c:pt>
                <c:pt idx="3">
                  <c:v>Healthcare</c:v>
                </c:pt>
                <c:pt idx="4">
                  <c:v>Logistics</c:v>
                </c:pt>
              </c:strCache>
            </c:strRef>
          </c:cat>
          <c:val>
            <c:numRef>
              <c:f>'02_Cohort_Analytics'!$B$5:$B$10</c:f>
              <c:numCache>
                <c:formatCode>[$$-409]#,##0.00</c:formatCode>
                <c:ptCount val="5"/>
                <c:pt idx="0">
                  <c:v>129455.55000000002</c:v>
                </c:pt>
                <c:pt idx="1">
                  <c:v>68167.459999999992</c:v>
                </c:pt>
                <c:pt idx="2">
                  <c:v>105929.92</c:v>
                </c:pt>
                <c:pt idx="3">
                  <c:v>168865.98</c:v>
                </c:pt>
                <c:pt idx="4">
                  <c:v>82733.87000000001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2-443D-9761-E3C9B9EBA091}"/>
            </c:ext>
          </c:extLst>
        </c:ser>
        <c:ser>
          <c:idx val="1"/>
          <c:order val="1"/>
          <c:tx>
            <c:strRef>
              <c:f>'02_Cohort_Analytics'!$C$3:$C$4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'02_Cohort_Analytics'!$A$5:$A$10</c:f>
              <c:strCache>
                <c:ptCount val="5"/>
                <c:pt idx="0">
                  <c:v>E-Commerce</c:v>
                </c:pt>
                <c:pt idx="1">
                  <c:v>Enterprise Tech</c:v>
                </c:pt>
                <c:pt idx="2">
                  <c:v>Fintech</c:v>
                </c:pt>
                <c:pt idx="3">
                  <c:v>Healthcare</c:v>
                </c:pt>
                <c:pt idx="4">
                  <c:v>Logistics</c:v>
                </c:pt>
              </c:strCache>
            </c:strRef>
          </c:cat>
          <c:val>
            <c:numRef>
              <c:f>'02_Cohort_Analytics'!$C$5:$C$10</c:f>
              <c:numCache>
                <c:formatCode>[$$-409]#,##0.00</c:formatCode>
                <c:ptCount val="5"/>
                <c:pt idx="0">
                  <c:v>433512.00000000006</c:v>
                </c:pt>
                <c:pt idx="1">
                  <c:v>388294.40000000008</c:v>
                </c:pt>
                <c:pt idx="2">
                  <c:v>292586.63999999996</c:v>
                </c:pt>
                <c:pt idx="3">
                  <c:v>386147.21</c:v>
                </c:pt>
                <c:pt idx="4">
                  <c:v>385084.32000000007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2-443D-9761-E3C9B9EBA091}"/>
            </c:ext>
          </c:extLst>
        </c:ser>
        <c:ser>
          <c:idx val="2"/>
          <c:order val="2"/>
          <c:tx>
            <c:strRef>
              <c:f>'02_Cohort_Analytics'!$D$3:$D$4</c:f>
              <c:strCache>
                <c:ptCount val="1"/>
                <c:pt idx="0">
                  <c:v>MODERATE 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'02_Cohort_Analytics'!$A$5:$A$10</c:f>
              <c:strCache>
                <c:ptCount val="5"/>
                <c:pt idx="0">
                  <c:v>E-Commerce</c:v>
                </c:pt>
                <c:pt idx="1">
                  <c:v>Enterprise Tech</c:v>
                </c:pt>
                <c:pt idx="2">
                  <c:v>Fintech</c:v>
                </c:pt>
                <c:pt idx="3">
                  <c:v>Healthcare</c:v>
                </c:pt>
                <c:pt idx="4">
                  <c:v>Logistics</c:v>
                </c:pt>
              </c:strCache>
            </c:strRef>
          </c:cat>
          <c:val>
            <c:numRef>
              <c:f>'02_Cohort_Analytics'!$D$5:$D$10</c:f>
              <c:numCache>
                <c:formatCode>[$$-409]#,##0.00</c:formatCode>
                <c:ptCount val="5"/>
                <c:pt idx="0">
                  <c:v>452178.22</c:v>
                </c:pt>
                <c:pt idx="1">
                  <c:v>463395.06999999977</c:v>
                </c:pt>
                <c:pt idx="2">
                  <c:v>418197.1399999999</c:v>
                </c:pt>
                <c:pt idx="3">
                  <c:v>429587.89999999997</c:v>
                </c:pt>
                <c:pt idx="4">
                  <c:v>335338.23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02-443D-9761-E3C9B9EB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5420807"/>
        <c:axId val="985422855"/>
      </c:barChart>
      <c:catAx>
        <c:axId val="985420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22855"/>
        <c:crosses val="autoZero"/>
        <c:auto val="1"/>
        <c:lblAlgn val="ctr"/>
        <c:lblOffset val="100"/>
        <c:noMultiLvlLbl val="0"/>
      </c:catAx>
      <c:valAx>
        <c:axId val="985422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20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[MOCK_DATA (2) 1 1.xlsx]02_Cohort_Analytics!PivotTable2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'02_Cohort_Analytics'!$B$16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'02_Cohort_Analytics'!$A$17:$A$20</c:f>
              <c:strCache>
                <c:ptCount val="3"/>
                <c:pt idx="0">
                  <c:v>CRITICAL RISK</c:v>
                </c:pt>
                <c:pt idx="1">
                  <c:v>HEALTHY</c:v>
                </c:pt>
                <c:pt idx="2">
                  <c:v>MODERATE RISK</c:v>
                </c:pt>
              </c:strCache>
            </c:strRef>
          </c:cat>
          <c:val>
            <c:numRef>
              <c:f>'02_Cohort_Analytics'!$B$17:$B$20</c:f>
              <c:numCache>
                <c:formatCode>0.0</c:formatCode>
                <c:ptCount val="3"/>
                <c:pt idx="0">
                  <c:v>14.373134328358208</c:v>
                </c:pt>
                <c:pt idx="1">
                  <c:v>8.0155038759689923</c:v>
                </c:pt>
                <c:pt idx="2">
                  <c:v>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D-4AEC-8FC2-D18709BD8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462983"/>
        <c:axId val="825185287"/>
      </c:barChart>
      <c:catAx>
        <c:axId val="82246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85287"/>
        <c:crosses val="autoZero"/>
        <c:auto val="1"/>
        <c:lblAlgn val="ctr"/>
        <c:lblOffset val="100"/>
        <c:noMultiLvlLbl val="0"/>
      </c:catAx>
      <c:valAx>
        <c:axId val="825185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6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[MOCK_DATA (2) 1 1.xlsx]02_Cohort_Analytics!PivotTable1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'02_Cohort_Analytics'!$B$3:$B$4</c:f>
              <c:strCache>
                <c:ptCount val="1"/>
                <c:pt idx="0">
                  <c:v>CRITICAL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'02_Cohort_Analytics'!$A$5:$A$10</c:f>
              <c:strCache>
                <c:ptCount val="5"/>
                <c:pt idx="0">
                  <c:v>E-Commerce</c:v>
                </c:pt>
                <c:pt idx="1">
                  <c:v>Enterprise Tech</c:v>
                </c:pt>
                <c:pt idx="2">
                  <c:v>Fintech</c:v>
                </c:pt>
                <c:pt idx="3">
                  <c:v>Healthcare</c:v>
                </c:pt>
                <c:pt idx="4">
                  <c:v>Logistics</c:v>
                </c:pt>
              </c:strCache>
            </c:strRef>
          </c:cat>
          <c:val>
            <c:numRef>
              <c:f>'02_Cohort_Analytics'!$B$5:$B$10</c:f>
              <c:numCache>
                <c:formatCode>[$$-409]#,##0.00</c:formatCode>
                <c:ptCount val="5"/>
                <c:pt idx="0">
                  <c:v>129455.55000000002</c:v>
                </c:pt>
                <c:pt idx="1">
                  <c:v>68167.459999999992</c:v>
                </c:pt>
                <c:pt idx="2">
                  <c:v>105929.92</c:v>
                </c:pt>
                <c:pt idx="3">
                  <c:v>168865.98</c:v>
                </c:pt>
                <c:pt idx="4">
                  <c:v>82733.87000000001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0-47FD-AA24-8EFBDC430A76}"/>
            </c:ext>
          </c:extLst>
        </c:ser>
        <c:ser>
          <c:idx val="1"/>
          <c:order val="1"/>
          <c:tx>
            <c:strRef>
              <c:f>'02_Cohort_Analytics'!$C$3:$C$4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'02_Cohort_Analytics'!$A$5:$A$10</c:f>
              <c:strCache>
                <c:ptCount val="5"/>
                <c:pt idx="0">
                  <c:v>E-Commerce</c:v>
                </c:pt>
                <c:pt idx="1">
                  <c:v>Enterprise Tech</c:v>
                </c:pt>
                <c:pt idx="2">
                  <c:v>Fintech</c:v>
                </c:pt>
                <c:pt idx="3">
                  <c:v>Healthcare</c:v>
                </c:pt>
                <c:pt idx="4">
                  <c:v>Logistics</c:v>
                </c:pt>
              </c:strCache>
            </c:strRef>
          </c:cat>
          <c:val>
            <c:numRef>
              <c:f>'02_Cohort_Analytics'!$C$5:$C$10</c:f>
              <c:numCache>
                <c:formatCode>[$$-409]#,##0.00</c:formatCode>
                <c:ptCount val="5"/>
                <c:pt idx="0">
                  <c:v>433512.00000000006</c:v>
                </c:pt>
                <c:pt idx="1">
                  <c:v>388294.40000000008</c:v>
                </c:pt>
                <c:pt idx="2">
                  <c:v>292586.63999999996</c:v>
                </c:pt>
                <c:pt idx="3">
                  <c:v>386147.21</c:v>
                </c:pt>
                <c:pt idx="4">
                  <c:v>385084.32000000007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0-47FD-AA24-8EFBDC430A76}"/>
            </c:ext>
          </c:extLst>
        </c:ser>
        <c:ser>
          <c:idx val="2"/>
          <c:order val="2"/>
          <c:tx>
            <c:strRef>
              <c:f>'02_Cohort_Analytics'!$D$3:$D$4</c:f>
              <c:strCache>
                <c:ptCount val="1"/>
                <c:pt idx="0">
                  <c:v>MODERATE 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'02_Cohort_Analytics'!$A$5:$A$10</c:f>
              <c:strCache>
                <c:ptCount val="5"/>
                <c:pt idx="0">
                  <c:v>E-Commerce</c:v>
                </c:pt>
                <c:pt idx="1">
                  <c:v>Enterprise Tech</c:v>
                </c:pt>
                <c:pt idx="2">
                  <c:v>Fintech</c:v>
                </c:pt>
                <c:pt idx="3">
                  <c:v>Healthcare</c:v>
                </c:pt>
                <c:pt idx="4">
                  <c:v>Logistics</c:v>
                </c:pt>
              </c:strCache>
            </c:strRef>
          </c:cat>
          <c:val>
            <c:numRef>
              <c:f>'02_Cohort_Analytics'!$D$5:$D$10</c:f>
              <c:numCache>
                <c:formatCode>[$$-409]#,##0.00</c:formatCode>
                <c:ptCount val="5"/>
                <c:pt idx="0">
                  <c:v>452178.22</c:v>
                </c:pt>
                <c:pt idx="1">
                  <c:v>463395.06999999977</c:v>
                </c:pt>
                <c:pt idx="2">
                  <c:v>418197.1399999999</c:v>
                </c:pt>
                <c:pt idx="3">
                  <c:v>429587.89999999997</c:v>
                </c:pt>
                <c:pt idx="4">
                  <c:v>335338.23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20-47FD-AA24-8EFBDC430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5"/>
        <c:overlap val="100"/>
        <c:axId val="985420807"/>
        <c:axId val="985422855"/>
      </c:barChart>
      <c:catAx>
        <c:axId val="985420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22855"/>
        <c:crosses val="autoZero"/>
        <c:auto val="1"/>
        <c:lblAlgn val="ctr"/>
        <c:lblOffset val="100"/>
        <c:noMultiLvlLbl val="0"/>
      </c:catAx>
      <c:valAx>
        <c:axId val="985422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20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[MOCK_DATA (2) 1 1.xlsx]02_Cohort_Analytics!PivotTable2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'02_Cohort_Analytics'!$B$16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'02_Cohort_Analytics'!$A$17:$A$20</c:f>
              <c:strCache>
                <c:ptCount val="3"/>
                <c:pt idx="0">
                  <c:v>CRITICAL RISK</c:v>
                </c:pt>
                <c:pt idx="1">
                  <c:v>HEALTHY</c:v>
                </c:pt>
                <c:pt idx="2">
                  <c:v>MODERATE RISK</c:v>
                </c:pt>
              </c:strCache>
            </c:strRef>
          </c:cat>
          <c:val>
            <c:numRef>
              <c:f>'02_Cohort_Analytics'!$B$17:$B$20</c:f>
              <c:numCache>
                <c:formatCode>0.0</c:formatCode>
                <c:ptCount val="3"/>
                <c:pt idx="0">
                  <c:v>14.373134328358208</c:v>
                </c:pt>
                <c:pt idx="1">
                  <c:v>8.0155038759689923</c:v>
                </c:pt>
                <c:pt idx="2">
                  <c:v>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2-4C8D-9090-5F45CB15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462983"/>
        <c:axId val="825185287"/>
      </c:barChart>
      <c:catAx>
        <c:axId val="82246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85287"/>
        <c:crosses val="autoZero"/>
        <c:auto val="1"/>
        <c:lblAlgn val="ctr"/>
        <c:lblOffset val="100"/>
        <c:noMultiLvlLbl val="0"/>
      </c:catAx>
      <c:valAx>
        <c:axId val="825185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6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95250</xdr:rowOff>
    </xdr:from>
    <xdr:to>
      <xdr:col>7</xdr:col>
      <xdr:colOff>304800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C9C80-2565-4EB8-B17B-B2DD4493B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9</xdr:row>
      <xdr:rowOff>104775</xdr:rowOff>
    </xdr:from>
    <xdr:to>
      <xdr:col>15</xdr:col>
      <xdr:colOff>0</xdr:colOff>
      <xdr:row>23</xdr:row>
      <xdr:rowOff>180975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0C63F06-1B1E-4408-B19C-1D422476862A}"/>
            </a:ext>
            <a:ext uri="{147F2762-F138-4A5C-976F-8EAC2B608ADB}">
              <a16:predDERef xmlns:a16="http://schemas.microsoft.com/office/drawing/2014/main" pred="{EBEC9C80-2565-4EB8-B17B-B2DD4493B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152400</xdr:rowOff>
    </xdr:from>
    <xdr:to>
      <xdr:col>12</xdr:col>
      <xdr:colOff>314325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5045E-F3CD-18EB-9C33-8FA275F7D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333375</xdr:colOff>
      <xdr:row>0</xdr:row>
      <xdr:rowOff>180975</xdr:rowOff>
    </xdr:from>
    <xdr:to>
      <xdr:col>15</xdr:col>
      <xdr:colOff>333375</xdr:colOff>
      <xdr:row>14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Industry">
              <a:extLst>
                <a:ext uri="{FF2B5EF4-FFF2-40B4-BE49-F238E27FC236}">
                  <a16:creationId xmlns:a16="http://schemas.microsoft.com/office/drawing/2014/main" id="{026A4FEE-1A0B-464D-8231-A06F65BB4F1F}"/>
                </a:ext>
                <a:ext uri="{147F2762-F138-4A5C-976F-8EAC2B608ADB}">
                  <a16:predDERef xmlns:a16="http://schemas.microsoft.com/office/drawing/2014/main" pred="{AC65045E-F3CD-18EB-9C33-8FA275F7D8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us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67925" y="180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20</xdr:row>
      <xdr:rowOff>9525</xdr:rowOff>
    </xdr:from>
    <xdr:to>
      <xdr:col>3</xdr:col>
      <xdr:colOff>542925</xdr:colOff>
      <xdr:row>34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654601-CDA0-6DE6-D065-8AB32795B229}"/>
            </a:ext>
            <a:ext uri="{147F2762-F138-4A5C-976F-8EAC2B608ADB}">
              <a16:predDERef xmlns:a16="http://schemas.microsoft.com/office/drawing/2014/main" pred="{026A4FEE-1A0B-464D-8231-A06F65BB4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466725</xdr:colOff>
      <xdr:row>20</xdr:row>
      <xdr:rowOff>95250</xdr:rowOff>
    </xdr:from>
    <xdr:to>
      <xdr:col>8</xdr:col>
      <xdr:colOff>466725</xdr:colOff>
      <xdr:row>34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ontract_Type">
              <a:extLst>
                <a:ext uri="{FF2B5EF4-FFF2-40B4-BE49-F238E27FC236}">
                  <a16:creationId xmlns:a16="http://schemas.microsoft.com/office/drawing/2014/main" id="{82B3B326-DFA7-2707-EA0A-65EAD02D67BC}"/>
                </a:ext>
                <a:ext uri="{147F2762-F138-4A5C-976F-8EAC2B608ADB}">
                  <a16:predDERef xmlns:a16="http://schemas.microsoft.com/office/drawing/2014/main" pred="{27654601-CDA0-6DE6-D065-8AB32795B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_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4075" y="3905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542925</xdr:colOff>
      <xdr:row>20</xdr:row>
      <xdr:rowOff>76200</xdr:rowOff>
    </xdr:from>
    <xdr:to>
      <xdr:col>5</xdr:col>
      <xdr:colOff>381000</xdr:colOff>
      <xdr:row>34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DCC6632F-0311-7B8A-BA7B-724303EEE028}"/>
                </a:ext>
                <a:ext uri="{147F2762-F138-4A5C-976F-8EAC2B608ADB}">
                  <a16:predDERef xmlns:a16="http://schemas.microsoft.com/office/drawing/2014/main" pred="{82B3B326-DFA7-2707-EA0A-65EAD02D67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9550" y="3886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007581365739" createdVersion="8" refreshedVersion="8" minRefreshableVersion="3" recordCount="600" xr:uid="{868D176E-002C-4DC4-9CB5-EF8974A4525D}">
  <cacheSource type="worksheet">
    <worksheetSource name="tbl_SaaS_Audit"/>
  </cacheSource>
  <cacheFields count="16">
    <cacheField name="Account_ID" numFmtId="0">
      <sharedItems containsSemiMixedTypes="0" containsString="0" containsNumber="1" containsInteger="1" minValue="1" maxValue="600"/>
    </cacheField>
    <cacheField name="Client_Name" numFmtId="0">
      <sharedItems/>
    </cacheField>
    <cacheField name="Industry" numFmtId="0">
      <sharedItems count="5">
        <s v="Healthcare"/>
        <s v="E-Commerce"/>
        <s v="Enterprise Tech"/>
        <s v="Fintech"/>
        <s v="Logistics"/>
      </sharedItems>
    </cacheField>
    <cacheField name="Signup_Date" numFmtId="14">
      <sharedItems containsSemiMixedTypes="0" containsNonDate="0" containsDate="1" containsString="0" minDate="2024-01-01T00:00:00" maxDate="2025-06-28T00:00:00"/>
    </cacheField>
    <cacheField name="Contract_Type" numFmtId="0">
      <sharedItems count="3">
        <s v="Multi-Year"/>
        <s v="Monthly"/>
        <s v="Annual"/>
      </sharedItems>
    </cacheField>
    <cacheField name="Monthly_Revenue" numFmtId="164">
      <sharedItems containsSemiMixedTypes="0" containsString="0" containsNumber="1" minValue="512.66" maxValue="14972.82"/>
    </cacheField>
    <cacheField name="Account_Status" numFmtId="0">
      <sharedItems/>
    </cacheField>
    <cacheField name="Churn_Date" numFmtId="0">
      <sharedItems containsNonDate="0" containsDate="1" containsString="0" containsBlank="1" minDate="2025-07-01T00:00:00" maxDate="2026-08-30T00:00:00"/>
    </cacheField>
    <cacheField name="Support_Tickets_30D" numFmtId="0">
      <sharedItems containsSemiMixedTypes="0" containsString="0" containsNumber="1" containsInteger="1" minValue="0" maxValue="18"/>
    </cacheField>
    <cacheField name="region" numFmtId="0">
      <sharedItems count="5">
        <s v="APAC-SGP"/>
        <s v="MEA-EGY"/>
        <s v="EU-CENTRAL"/>
        <s v="NA-WEST"/>
        <s v="NA-EAST"/>
      </sharedItems>
    </cacheField>
    <cacheField name="Contient" numFmtId="0">
      <sharedItems/>
    </cacheField>
    <cacheField name="SUB-REGION" numFmtId="0">
      <sharedItems/>
    </cacheField>
    <cacheField name="Tenure_Months" numFmtId="0">
      <sharedItems containsSemiMixedTypes="0" containsString="0" containsNumber="1" containsInteger="1" minValue="2" maxValue="32"/>
    </cacheField>
    <cacheField name="Life Time Value" numFmtId="164">
      <sharedItems containsSemiMixedTypes="0" containsString="0" containsNumber="1" minValue="4987.12" maxValue="472960.32"/>
    </cacheField>
    <cacheField name="Risk_Level" numFmtId="0">
      <sharedItems count="3">
        <s v="HEALTHY"/>
        <s v="CRITICAL RISK"/>
        <s v="MODERATE RISK"/>
      </sharedItems>
    </cacheField>
    <cacheField name="MRR Loss " numFmtId="164">
      <sharedItems containsSemiMixedTypes="0" containsString="0" containsNumber="1" minValue="0" maxValue="178329.72"/>
    </cacheField>
  </cacheFields>
  <extLst>
    <ext xmlns:x14="http://schemas.microsoft.com/office/spreadsheetml/2009/9/main" uri="{725AE2AE-9491-48be-B2B4-4EB974FC3084}">
      <x14:pivotCacheDefinition pivotCacheId="4597063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"/>
    <s v="Rhynoodle"/>
    <x v="0"/>
    <d v="2024-05-10T00:00:00"/>
    <x v="0"/>
    <n v="9688.01"/>
    <s v="Churned"/>
    <d v="2025-10-30T00:00:00"/>
    <n v="0"/>
    <x v="0"/>
    <s v="APAC"/>
    <s v="SGP"/>
    <n v="17"/>
    <n v="164696.17000000001"/>
    <x v="0"/>
    <n v="0"/>
  </r>
  <r>
    <n v="2"/>
    <s v="Fivebridge"/>
    <x v="0"/>
    <d v="2025-01-15T00:00:00"/>
    <x v="0"/>
    <n v="13704.24"/>
    <s v="Active"/>
    <d v="2025-08-27T00:00:00"/>
    <n v="15"/>
    <x v="1"/>
    <s v="MEA"/>
    <s v="EGY"/>
    <n v="20"/>
    <n v="274084.8"/>
    <x v="0"/>
    <n v="0"/>
  </r>
  <r>
    <n v="3"/>
    <s v="Yacero"/>
    <x v="1"/>
    <d v="2024-12-15T00:00:00"/>
    <x v="1"/>
    <n v="3526.3"/>
    <s v="Active"/>
    <m/>
    <n v="13"/>
    <x v="1"/>
    <s v="MEA"/>
    <s v="EGY"/>
    <n v="21"/>
    <n v="74052.3"/>
    <x v="0"/>
    <n v="0"/>
  </r>
  <r>
    <n v="4"/>
    <s v="Skidoo"/>
    <x v="0"/>
    <d v="2025-03-12T00:00:00"/>
    <x v="2"/>
    <n v="8157.37"/>
    <s v="At-Risk"/>
    <d v="2025-07-09T00:00:00"/>
    <n v="17"/>
    <x v="1"/>
    <s v="MEA"/>
    <s v="EGY"/>
    <n v="18"/>
    <n v="146832.66"/>
    <x v="1"/>
    <n v="97888.44"/>
  </r>
  <r>
    <n v="5"/>
    <s v="Camido"/>
    <x v="2"/>
    <d v="2024-12-21T00:00:00"/>
    <x v="1"/>
    <n v="1140.67"/>
    <s v="At-Risk"/>
    <d v="2026-03-20T00:00:00"/>
    <n v="10"/>
    <x v="1"/>
    <s v="MEA"/>
    <s v="EGY"/>
    <n v="21"/>
    <n v="23954.07"/>
    <x v="2"/>
    <n v="0"/>
  </r>
  <r>
    <n v="6"/>
    <s v="Quatz"/>
    <x v="0"/>
    <d v="2025-01-03T00:00:00"/>
    <x v="0"/>
    <n v="4591.7700000000004"/>
    <s v="Churned"/>
    <d v="2025-10-08T00:00:00"/>
    <n v="4"/>
    <x v="2"/>
    <s v="EU"/>
    <s v="CENTRAL"/>
    <n v="9"/>
    <n v="41325.930000000008"/>
    <x v="0"/>
    <n v="0"/>
  </r>
  <r>
    <n v="7"/>
    <s v="Blognation"/>
    <x v="0"/>
    <d v="2025-03-17T00:00:00"/>
    <x v="0"/>
    <n v="3619.29"/>
    <s v="Active"/>
    <d v="2025-10-07T00:00:00"/>
    <n v="0"/>
    <x v="3"/>
    <s v="NA"/>
    <s v="WEST"/>
    <n v="18"/>
    <n v="65147.22"/>
    <x v="0"/>
    <n v="0"/>
  </r>
  <r>
    <n v="8"/>
    <s v="Linktype"/>
    <x v="3"/>
    <d v="2025-02-12T00:00:00"/>
    <x v="2"/>
    <n v="10675.67"/>
    <s v="Pending Renewal"/>
    <d v="2025-07-08T00:00:00"/>
    <n v="8"/>
    <x v="3"/>
    <s v="NA"/>
    <s v="WEST"/>
    <n v="19"/>
    <n v="202837.73"/>
    <x v="2"/>
    <n v="0"/>
  </r>
  <r>
    <n v="9"/>
    <s v="Thoughtbridge"/>
    <x v="4"/>
    <d v="2024-05-06T00:00:00"/>
    <x v="2"/>
    <n v="4699.47"/>
    <s v="Churned"/>
    <d v="2026-04-28T00:00:00"/>
    <n v="18"/>
    <x v="4"/>
    <s v="NA"/>
    <s v="EAST"/>
    <n v="23"/>
    <n v="108087.81000000001"/>
    <x v="0"/>
    <n v="0"/>
  </r>
  <r>
    <n v="10"/>
    <s v="Zoovu"/>
    <x v="4"/>
    <d v="2024-07-05T00:00:00"/>
    <x v="2"/>
    <n v="7273.85"/>
    <s v="Active"/>
    <d v="2026-02-23T00:00:00"/>
    <n v="14"/>
    <x v="0"/>
    <s v="APAC"/>
    <s v="SGP"/>
    <n v="26"/>
    <n v="189120.1"/>
    <x v="0"/>
    <n v="0"/>
  </r>
  <r>
    <n v="11"/>
    <s v="Brainbox"/>
    <x v="0"/>
    <d v="2025-06-26T00:00:00"/>
    <x v="1"/>
    <n v="5587.95"/>
    <s v="Churned"/>
    <d v="2026-08-13T00:00:00"/>
    <n v="16"/>
    <x v="2"/>
    <s v="EU"/>
    <s v="CENTRAL"/>
    <n v="14"/>
    <n v="78231.3"/>
    <x v="0"/>
    <n v="0"/>
  </r>
  <r>
    <n v="12"/>
    <s v="Quimba"/>
    <x v="3"/>
    <d v="2025-04-22T00:00:00"/>
    <x v="0"/>
    <n v="10812.6"/>
    <s v="Pending Renewal"/>
    <d v="2026-02-20T00:00:00"/>
    <n v="0"/>
    <x v="2"/>
    <s v="EU"/>
    <s v="CENTRAL"/>
    <n v="17"/>
    <n v="183814.2"/>
    <x v="2"/>
    <n v="0"/>
  </r>
  <r>
    <n v="13"/>
    <s v="Minyx"/>
    <x v="0"/>
    <d v="2024-09-11T00:00:00"/>
    <x v="2"/>
    <n v="8863.44"/>
    <s v="Active"/>
    <d v="2025-09-09T00:00:00"/>
    <n v="0"/>
    <x v="0"/>
    <s v="APAC"/>
    <s v="SGP"/>
    <n v="24"/>
    <n v="212722.56"/>
    <x v="0"/>
    <n v="0"/>
  </r>
  <r>
    <n v="14"/>
    <s v="Ooba"/>
    <x v="2"/>
    <d v="2025-04-13T00:00:00"/>
    <x v="1"/>
    <n v="9357.43"/>
    <s v="At-Risk"/>
    <d v="2026-01-22T00:00:00"/>
    <n v="1"/>
    <x v="3"/>
    <s v="NA"/>
    <s v="WEST"/>
    <n v="17"/>
    <n v="159076.31"/>
    <x v="0"/>
    <n v="0"/>
  </r>
  <r>
    <n v="15"/>
    <s v="Trudoo"/>
    <x v="2"/>
    <d v="2024-11-26T00:00:00"/>
    <x v="0"/>
    <n v="12450.41"/>
    <s v="At-Risk"/>
    <m/>
    <n v="6"/>
    <x v="3"/>
    <s v="NA"/>
    <s v="WEST"/>
    <n v="22"/>
    <n v="273909.02"/>
    <x v="2"/>
    <n v="0"/>
  </r>
  <r>
    <n v="16"/>
    <s v="Kaymbo"/>
    <x v="2"/>
    <d v="2024-06-30T00:00:00"/>
    <x v="1"/>
    <n v="11038.93"/>
    <s v="At-Risk"/>
    <d v="2026-03-11T00:00:00"/>
    <n v="1"/>
    <x v="2"/>
    <s v="EU"/>
    <s v="CENTRAL"/>
    <n v="27"/>
    <n v="298051.11"/>
    <x v="0"/>
    <n v="0"/>
  </r>
  <r>
    <n v="17"/>
    <s v="Meembee"/>
    <x v="4"/>
    <d v="2024-12-20T00:00:00"/>
    <x v="0"/>
    <n v="13491.38"/>
    <s v="Churned"/>
    <d v="2025-11-28T00:00:00"/>
    <n v="5"/>
    <x v="0"/>
    <s v="APAC"/>
    <s v="SGP"/>
    <n v="11"/>
    <n v="148405.18"/>
    <x v="2"/>
    <n v="0"/>
  </r>
  <r>
    <n v="18"/>
    <s v="Skyndu"/>
    <x v="2"/>
    <d v="2024-04-03T00:00:00"/>
    <x v="2"/>
    <n v="8148.19"/>
    <s v="At-Risk"/>
    <d v="2026-08-23T00:00:00"/>
    <n v="3"/>
    <x v="4"/>
    <s v="NA"/>
    <s v="EAST"/>
    <n v="29"/>
    <n v="236297.50999999998"/>
    <x v="0"/>
    <n v="0"/>
  </r>
  <r>
    <n v="19"/>
    <s v="Voolith"/>
    <x v="2"/>
    <d v="2025-05-27T00:00:00"/>
    <x v="2"/>
    <n v="5824.26"/>
    <s v="Active"/>
    <d v="2026-07-10T00:00:00"/>
    <n v="10"/>
    <x v="1"/>
    <s v="MEA"/>
    <s v="EGY"/>
    <n v="16"/>
    <n v="93188.160000000003"/>
    <x v="2"/>
    <n v="0"/>
  </r>
  <r>
    <n v="20"/>
    <s v="Wikibox"/>
    <x v="0"/>
    <d v="2024-07-25T00:00:00"/>
    <x v="0"/>
    <n v="3021.45"/>
    <s v="Churned"/>
    <d v="2025-10-15T00:00:00"/>
    <n v="14"/>
    <x v="4"/>
    <s v="NA"/>
    <s v="EAST"/>
    <n v="15"/>
    <n v="45321.75"/>
    <x v="0"/>
    <n v="0"/>
  </r>
  <r>
    <n v="21"/>
    <s v="Zoomdog"/>
    <x v="1"/>
    <d v="2024-05-09T00:00:00"/>
    <x v="0"/>
    <n v="9380.27"/>
    <s v="At-Risk"/>
    <d v="2025-12-31T00:00:00"/>
    <n v="9"/>
    <x v="3"/>
    <s v="NA"/>
    <s v="WEST"/>
    <n v="28"/>
    <n v="262647.56"/>
    <x v="2"/>
    <n v="0"/>
  </r>
  <r>
    <n v="22"/>
    <s v="Babblestorm"/>
    <x v="3"/>
    <d v="2024-01-11T00:00:00"/>
    <x v="0"/>
    <n v="11448.2"/>
    <s v="Active"/>
    <d v="2025-12-15T00:00:00"/>
    <n v="8"/>
    <x v="0"/>
    <s v="APAC"/>
    <s v="SGP"/>
    <n v="32"/>
    <n v="366342.40000000002"/>
    <x v="2"/>
    <n v="0"/>
  </r>
  <r>
    <n v="23"/>
    <s v="Abatz"/>
    <x v="4"/>
    <d v="2025-01-10T00:00:00"/>
    <x v="1"/>
    <n v="3285.35"/>
    <s v="Pending Renewal"/>
    <d v="2025-07-05T00:00:00"/>
    <n v="6"/>
    <x v="2"/>
    <s v="EU"/>
    <s v="CENTRAL"/>
    <n v="20"/>
    <n v="65707"/>
    <x v="2"/>
    <n v="0"/>
  </r>
  <r>
    <n v="24"/>
    <s v="Zoombeat"/>
    <x v="0"/>
    <d v="2024-02-07T00:00:00"/>
    <x v="2"/>
    <n v="8125.02"/>
    <s v="Active"/>
    <d v="2026-07-04T00:00:00"/>
    <n v="3"/>
    <x v="2"/>
    <s v="EU"/>
    <s v="CENTRAL"/>
    <n v="31"/>
    <n v="251875.62000000002"/>
    <x v="0"/>
    <n v="0"/>
  </r>
  <r>
    <n v="25"/>
    <s v="Edgeblab"/>
    <x v="3"/>
    <d v="2024-01-12T00:00:00"/>
    <x v="2"/>
    <n v="8115.93"/>
    <s v="Active"/>
    <d v="2026-01-23T00:00:00"/>
    <n v="6"/>
    <x v="1"/>
    <s v="MEA"/>
    <s v="EGY"/>
    <n v="32"/>
    <n v="259709.76"/>
    <x v="2"/>
    <n v="0"/>
  </r>
  <r>
    <n v="26"/>
    <s v="Npath"/>
    <x v="2"/>
    <d v="2024-07-08T00:00:00"/>
    <x v="1"/>
    <n v="14860.81"/>
    <s v="At-Risk"/>
    <d v="2026-03-04T00:00:00"/>
    <n v="15"/>
    <x v="2"/>
    <s v="EU"/>
    <s v="CENTRAL"/>
    <n v="26"/>
    <n v="386381.06"/>
    <x v="1"/>
    <n v="178329.72"/>
  </r>
  <r>
    <n v="27"/>
    <s v="Gigaclub"/>
    <x v="1"/>
    <d v="2025-04-17T00:00:00"/>
    <x v="1"/>
    <n v="12739.09"/>
    <s v="Pending Renewal"/>
    <d v="2025-08-11T00:00:00"/>
    <n v="11"/>
    <x v="2"/>
    <s v="EU"/>
    <s v="CENTRAL"/>
    <n v="17"/>
    <n v="216564.53"/>
    <x v="2"/>
    <n v="0"/>
  </r>
  <r>
    <n v="28"/>
    <s v="Gigazoom"/>
    <x v="1"/>
    <d v="2025-01-23T00:00:00"/>
    <x v="0"/>
    <n v="9246.6"/>
    <s v="Pending Renewal"/>
    <d v="2026-05-24T00:00:00"/>
    <n v="15"/>
    <x v="0"/>
    <s v="APAC"/>
    <s v="SGP"/>
    <n v="20"/>
    <n v="184932"/>
    <x v="2"/>
    <n v="0"/>
  </r>
  <r>
    <n v="29"/>
    <s v="Jayo"/>
    <x v="2"/>
    <d v="2024-02-22T00:00:00"/>
    <x v="0"/>
    <n v="12945.83"/>
    <s v="Pending Renewal"/>
    <d v="2025-08-08T00:00:00"/>
    <n v="7"/>
    <x v="1"/>
    <s v="MEA"/>
    <s v="EGY"/>
    <n v="31"/>
    <n v="401320.73"/>
    <x v="2"/>
    <n v="0"/>
  </r>
  <r>
    <n v="30"/>
    <s v="Blogpad"/>
    <x v="1"/>
    <d v="2024-11-12T00:00:00"/>
    <x v="0"/>
    <n v="5968.91"/>
    <s v="Pending Renewal"/>
    <d v="2026-03-14T00:00:00"/>
    <n v="7"/>
    <x v="0"/>
    <s v="APAC"/>
    <s v="SGP"/>
    <n v="22"/>
    <n v="131316.01999999999"/>
    <x v="2"/>
    <n v="0"/>
  </r>
  <r>
    <n v="31"/>
    <s v="Devshare"/>
    <x v="2"/>
    <d v="2024-11-27T00:00:00"/>
    <x v="2"/>
    <n v="10656.96"/>
    <s v="Active"/>
    <d v="2026-07-06T00:00:00"/>
    <n v="3"/>
    <x v="4"/>
    <s v="NA"/>
    <s v="EAST"/>
    <n v="22"/>
    <n v="234453.12"/>
    <x v="0"/>
    <n v="0"/>
  </r>
  <r>
    <n v="32"/>
    <s v="Rhyloo"/>
    <x v="4"/>
    <d v="2025-02-20T00:00:00"/>
    <x v="2"/>
    <n v="867.37"/>
    <s v="Active"/>
    <m/>
    <n v="2"/>
    <x v="1"/>
    <s v="MEA"/>
    <s v="EGY"/>
    <n v="19"/>
    <n v="16480.03"/>
    <x v="0"/>
    <n v="0"/>
  </r>
  <r>
    <n v="33"/>
    <s v="Trilith"/>
    <x v="1"/>
    <d v="2024-03-26T00:00:00"/>
    <x v="2"/>
    <n v="5444.34"/>
    <s v="Churned"/>
    <d v="2025-07-02T00:00:00"/>
    <n v="12"/>
    <x v="3"/>
    <s v="NA"/>
    <s v="WEST"/>
    <n v="16"/>
    <n v="87109.440000000002"/>
    <x v="0"/>
    <n v="0"/>
  </r>
  <r>
    <n v="34"/>
    <s v="Twimm"/>
    <x v="1"/>
    <d v="2025-06-23T00:00:00"/>
    <x v="2"/>
    <n v="7885.79"/>
    <s v="Pending Renewal"/>
    <d v="2025-09-22T00:00:00"/>
    <n v="3"/>
    <x v="4"/>
    <s v="NA"/>
    <s v="EAST"/>
    <n v="15"/>
    <n v="118286.85"/>
    <x v="2"/>
    <n v="0"/>
  </r>
  <r>
    <n v="35"/>
    <s v="Jazzy"/>
    <x v="0"/>
    <d v="2024-08-26T00:00:00"/>
    <x v="2"/>
    <n v="6582.89"/>
    <s v="Pending Renewal"/>
    <d v="2026-08-02T00:00:00"/>
    <n v="4"/>
    <x v="2"/>
    <s v="EU"/>
    <s v="CENTRAL"/>
    <n v="25"/>
    <n v="164572.25"/>
    <x v="2"/>
    <n v="0"/>
  </r>
  <r>
    <n v="36"/>
    <s v="Lajo"/>
    <x v="4"/>
    <d v="2024-02-07T00:00:00"/>
    <x v="1"/>
    <n v="14700.27"/>
    <s v="Churned"/>
    <d v="2025-08-11T00:00:00"/>
    <n v="8"/>
    <x v="2"/>
    <s v="EU"/>
    <s v="CENTRAL"/>
    <n v="18"/>
    <n v="264604.86"/>
    <x v="2"/>
    <n v="0"/>
  </r>
  <r>
    <n v="37"/>
    <s v="Twimbo"/>
    <x v="3"/>
    <d v="2025-04-18T00:00:00"/>
    <x v="2"/>
    <n v="13800.26"/>
    <s v="At-Risk"/>
    <d v="2025-09-02T00:00:00"/>
    <n v="17"/>
    <x v="1"/>
    <s v="MEA"/>
    <s v="EGY"/>
    <n v="17"/>
    <n v="234604.42"/>
    <x v="1"/>
    <n v="165603.12"/>
  </r>
  <r>
    <n v="38"/>
    <s v="Chatterbridge"/>
    <x v="1"/>
    <d v="2025-04-14T00:00:00"/>
    <x v="0"/>
    <n v="12917.67"/>
    <s v="Active"/>
    <d v="2026-02-12T00:00:00"/>
    <n v="3"/>
    <x v="0"/>
    <s v="APAC"/>
    <s v="SGP"/>
    <n v="17"/>
    <n v="219600.39"/>
    <x v="0"/>
    <n v="0"/>
  </r>
  <r>
    <n v="39"/>
    <s v="Zooxo"/>
    <x v="3"/>
    <d v="2025-03-01T00:00:00"/>
    <x v="1"/>
    <n v="13404.08"/>
    <s v="Churned"/>
    <m/>
    <n v="9"/>
    <x v="1"/>
    <s v="MEA"/>
    <s v="EGY"/>
    <n v="18"/>
    <n v="241273.44"/>
    <x v="2"/>
    <n v="0"/>
  </r>
  <r>
    <n v="40"/>
    <s v="Jaxbean"/>
    <x v="0"/>
    <d v="2024-01-21T00:00:00"/>
    <x v="1"/>
    <n v="14780.01"/>
    <s v="Active"/>
    <d v="2026-08-01T00:00:00"/>
    <n v="4"/>
    <x v="2"/>
    <s v="EU"/>
    <s v="CENTRAL"/>
    <n v="32"/>
    <n v="472960.32"/>
    <x v="0"/>
    <n v="0"/>
  </r>
  <r>
    <n v="41"/>
    <s v="Topiczoom"/>
    <x v="1"/>
    <d v="2024-11-22T00:00:00"/>
    <x v="2"/>
    <n v="623.39"/>
    <s v="Churned"/>
    <d v="2025-07-31T00:00:00"/>
    <n v="4"/>
    <x v="0"/>
    <s v="APAC"/>
    <s v="SGP"/>
    <n v="8"/>
    <n v="4987.12"/>
    <x v="0"/>
    <n v="0"/>
  </r>
  <r>
    <n v="42"/>
    <s v="Dabtype"/>
    <x v="2"/>
    <d v="2025-01-24T00:00:00"/>
    <x v="0"/>
    <n v="10889.43"/>
    <s v="Pending Renewal"/>
    <d v="2025-10-05T00:00:00"/>
    <n v="12"/>
    <x v="0"/>
    <s v="APAC"/>
    <s v="SGP"/>
    <n v="20"/>
    <n v="217788.6"/>
    <x v="2"/>
    <n v="0"/>
  </r>
  <r>
    <n v="43"/>
    <s v="Gabtune"/>
    <x v="3"/>
    <d v="2024-02-01T00:00:00"/>
    <x v="1"/>
    <n v="6761.11"/>
    <s v="Pending Renewal"/>
    <d v="2026-05-06T00:00:00"/>
    <n v="9"/>
    <x v="1"/>
    <s v="MEA"/>
    <s v="EGY"/>
    <n v="31"/>
    <n v="209594.41"/>
    <x v="2"/>
    <n v="0"/>
  </r>
  <r>
    <n v="44"/>
    <s v="Gabtype"/>
    <x v="4"/>
    <d v="2024-05-03T00:00:00"/>
    <x v="1"/>
    <n v="8554.2199999999993"/>
    <s v="Churned"/>
    <d v="2026-03-19T00:00:00"/>
    <n v="5"/>
    <x v="3"/>
    <s v="NA"/>
    <s v="WEST"/>
    <n v="22"/>
    <n v="188192.84"/>
    <x v="2"/>
    <n v="0"/>
  </r>
  <r>
    <n v="45"/>
    <s v="Jaxspan"/>
    <x v="1"/>
    <d v="2024-11-24T00:00:00"/>
    <x v="1"/>
    <n v="9707.06"/>
    <s v="Pending Renewal"/>
    <d v="2026-06-20T00:00:00"/>
    <n v="10"/>
    <x v="2"/>
    <s v="EU"/>
    <s v="CENTRAL"/>
    <n v="22"/>
    <n v="213555.31999999998"/>
    <x v="2"/>
    <n v="0"/>
  </r>
  <r>
    <n v="46"/>
    <s v="Oyoba"/>
    <x v="0"/>
    <d v="2024-03-17T00:00:00"/>
    <x v="1"/>
    <n v="8153.01"/>
    <s v="Active"/>
    <d v="2025-12-10T00:00:00"/>
    <n v="8"/>
    <x v="2"/>
    <s v="EU"/>
    <s v="CENTRAL"/>
    <n v="30"/>
    <n v="244590.30000000002"/>
    <x v="2"/>
    <n v="0"/>
  </r>
  <r>
    <n v="47"/>
    <s v="Riffpath"/>
    <x v="2"/>
    <d v="2024-12-16T00:00:00"/>
    <x v="1"/>
    <n v="3306.3"/>
    <s v="Active"/>
    <d v="2026-05-09T00:00:00"/>
    <n v="18"/>
    <x v="0"/>
    <s v="APAC"/>
    <s v="SGP"/>
    <n v="21"/>
    <n v="69432.3"/>
    <x v="0"/>
    <n v="0"/>
  </r>
  <r>
    <n v="48"/>
    <s v="Thoughtstorm"/>
    <x v="3"/>
    <d v="2025-01-13T00:00:00"/>
    <x v="1"/>
    <n v="3400.96"/>
    <s v="Churned"/>
    <d v="2026-08-19T00:00:00"/>
    <n v="14"/>
    <x v="0"/>
    <s v="APAC"/>
    <s v="SGP"/>
    <n v="19"/>
    <n v="64618.239999999998"/>
    <x v="0"/>
    <n v="0"/>
  </r>
  <r>
    <n v="49"/>
    <s v="Topicshots"/>
    <x v="2"/>
    <d v="2024-05-15T00:00:00"/>
    <x v="1"/>
    <n v="13370.2"/>
    <s v="Pending Renewal"/>
    <d v="2025-07-17T00:00:00"/>
    <n v="16"/>
    <x v="2"/>
    <s v="EU"/>
    <s v="CENTRAL"/>
    <n v="28"/>
    <n v="374365.60000000003"/>
    <x v="2"/>
    <n v="0"/>
  </r>
  <r>
    <n v="50"/>
    <s v="Zazio"/>
    <x v="4"/>
    <d v="2025-06-18T00:00:00"/>
    <x v="1"/>
    <n v="2557.0700000000002"/>
    <s v="Active"/>
    <d v="2026-06-11T00:00:00"/>
    <n v="8"/>
    <x v="4"/>
    <s v="NA"/>
    <s v="EAST"/>
    <n v="15"/>
    <n v="38356.050000000003"/>
    <x v="2"/>
    <n v="0"/>
  </r>
  <r>
    <n v="51"/>
    <s v="Thoughtstorm"/>
    <x v="1"/>
    <d v="2025-02-15T00:00:00"/>
    <x v="2"/>
    <n v="13720.72"/>
    <s v="Churned"/>
    <d v="2026-01-13T00:00:00"/>
    <n v="13"/>
    <x v="2"/>
    <s v="EU"/>
    <s v="CENTRAL"/>
    <n v="11"/>
    <n v="150927.91999999998"/>
    <x v="0"/>
    <n v="0"/>
  </r>
  <r>
    <n v="52"/>
    <s v="Shufflebeat"/>
    <x v="3"/>
    <d v="2025-04-06T00:00:00"/>
    <x v="1"/>
    <n v="3112.9"/>
    <s v="Pending Renewal"/>
    <m/>
    <n v="10"/>
    <x v="1"/>
    <s v="MEA"/>
    <s v="EGY"/>
    <n v="17"/>
    <n v="52919.3"/>
    <x v="2"/>
    <n v="0"/>
  </r>
  <r>
    <n v="53"/>
    <s v="Twinder"/>
    <x v="2"/>
    <d v="2024-05-13T00:00:00"/>
    <x v="0"/>
    <n v="11614.36"/>
    <s v="Pending Renewal"/>
    <d v="2026-02-20T00:00:00"/>
    <n v="7"/>
    <x v="3"/>
    <s v="NA"/>
    <s v="WEST"/>
    <n v="28"/>
    <n v="325202.08"/>
    <x v="2"/>
    <n v="0"/>
  </r>
  <r>
    <n v="54"/>
    <s v="Jamia"/>
    <x v="3"/>
    <d v="2024-03-09T00:00:00"/>
    <x v="0"/>
    <n v="9998.7999999999993"/>
    <s v="At-Risk"/>
    <d v="2026-08-19T00:00:00"/>
    <n v="13"/>
    <x v="3"/>
    <s v="NA"/>
    <s v="WEST"/>
    <n v="30"/>
    <n v="299964"/>
    <x v="1"/>
    <n v="119985.59999999999"/>
  </r>
  <r>
    <n v="55"/>
    <s v="Jaxspan"/>
    <x v="0"/>
    <d v="2024-02-22T00:00:00"/>
    <x v="0"/>
    <n v="14120.78"/>
    <s v="Pending Renewal"/>
    <d v="2025-10-31T00:00:00"/>
    <n v="18"/>
    <x v="1"/>
    <s v="MEA"/>
    <s v="EGY"/>
    <n v="31"/>
    <n v="437744.18"/>
    <x v="2"/>
    <n v="0"/>
  </r>
  <r>
    <n v="56"/>
    <s v="Trilia"/>
    <x v="1"/>
    <d v="2024-02-07T00:00:00"/>
    <x v="1"/>
    <n v="8351.41"/>
    <s v="Pending Renewal"/>
    <d v="2026-07-22T00:00:00"/>
    <n v="10"/>
    <x v="3"/>
    <s v="NA"/>
    <s v="WEST"/>
    <n v="31"/>
    <n v="258893.71"/>
    <x v="2"/>
    <n v="0"/>
  </r>
  <r>
    <n v="57"/>
    <s v="Quinu"/>
    <x v="3"/>
    <d v="2024-11-30T00:00:00"/>
    <x v="0"/>
    <n v="5288.92"/>
    <s v="Churned"/>
    <d v="2026-04-18T00:00:00"/>
    <n v="11"/>
    <x v="3"/>
    <s v="NA"/>
    <s v="WEST"/>
    <n v="17"/>
    <n v="89911.64"/>
    <x v="0"/>
    <n v="0"/>
  </r>
  <r>
    <n v="58"/>
    <s v="Flashset"/>
    <x v="4"/>
    <d v="2025-05-06T00:00:00"/>
    <x v="0"/>
    <n v="14832.2"/>
    <s v="Pending Renewal"/>
    <d v="2026-08-01T00:00:00"/>
    <n v="1"/>
    <x v="1"/>
    <s v="MEA"/>
    <s v="EGY"/>
    <n v="16"/>
    <n v="237315.20000000001"/>
    <x v="2"/>
    <n v="0"/>
  </r>
  <r>
    <n v="59"/>
    <s v="Thoughtstorm"/>
    <x v="4"/>
    <d v="2024-04-10T00:00:00"/>
    <x v="0"/>
    <n v="9406.4699999999993"/>
    <s v="Churned"/>
    <m/>
    <n v="7"/>
    <x v="1"/>
    <s v="MEA"/>
    <s v="EGY"/>
    <n v="29"/>
    <n v="272787.63"/>
    <x v="2"/>
    <n v="0"/>
  </r>
  <r>
    <n v="60"/>
    <s v="Npath"/>
    <x v="0"/>
    <d v="2024-12-08T00:00:00"/>
    <x v="0"/>
    <n v="12671.41"/>
    <s v="At-Risk"/>
    <d v="2026-02-10T00:00:00"/>
    <n v="0"/>
    <x v="0"/>
    <s v="APAC"/>
    <s v="SGP"/>
    <n v="21"/>
    <n v="266099.61"/>
    <x v="0"/>
    <n v="0"/>
  </r>
  <r>
    <n v="61"/>
    <s v="Gabvine"/>
    <x v="1"/>
    <d v="2024-02-21T00:00:00"/>
    <x v="0"/>
    <n v="1435.82"/>
    <s v="Pending Renewal"/>
    <d v="2025-11-08T00:00:00"/>
    <n v="13"/>
    <x v="2"/>
    <s v="EU"/>
    <s v="CENTRAL"/>
    <n v="31"/>
    <n v="44510.42"/>
    <x v="2"/>
    <n v="0"/>
  </r>
  <r>
    <n v="62"/>
    <s v="Babbleset"/>
    <x v="3"/>
    <d v="2024-04-29T00:00:00"/>
    <x v="2"/>
    <n v="2685.2"/>
    <s v="At-Risk"/>
    <d v="2025-07-01T00:00:00"/>
    <n v="5"/>
    <x v="3"/>
    <s v="NA"/>
    <s v="WEST"/>
    <n v="29"/>
    <n v="77870.799999999988"/>
    <x v="2"/>
    <n v="0"/>
  </r>
  <r>
    <n v="63"/>
    <s v="Voonte"/>
    <x v="2"/>
    <d v="2024-11-25T00:00:00"/>
    <x v="0"/>
    <n v="2386.25"/>
    <s v="Churned"/>
    <d v="2026-06-30T00:00:00"/>
    <n v="1"/>
    <x v="3"/>
    <s v="NA"/>
    <s v="WEST"/>
    <n v="19"/>
    <n v="45338.75"/>
    <x v="0"/>
    <n v="0"/>
  </r>
  <r>
    <n v="64"/>
    <s v="Voomm"/>
    <x v="2"/>
    <d v="2024-08-21T00:00:00"/>
    <x v="2"/>
    <n v="8628.02"/>
    <s v="Pending Renewal"/>
    <m/>
    <n v="10"/>
    <x v="3"/>
    <s v="NA"/>
    <s v="WEST"/>
    <n v="25"/>
    <n v="215700.5"/>
    <x v="2"/>
    <n v="0"/>
  </r>
  <r>
    <n v="65"/>
    <s v="Abatz"/>
    <x v="1"/>
    <d v="2025-04-30T00:00:00"/>
    <x v="2"/>
    <n v="11084.71"/>
    <s v="Active"/>
    <d v="2026-04-18T00:00:00"/>
    <n v="0"/>
    <x v="2"/>
    <s v="EU"/>
    <s v="CENTRAL"/>
    <n v="17"/>
    <n v="188440.06999999998"/>
    <x v="0"/>
    <n v="0"/>
  </r>
  <r>
    <n v="66"/>
    <s v="Meemm"/>
    <x v="1"/>
    <d v="2025-05-12T00:00:00"/>
    <x v="0"/>
    <n v="5394.88"/>
    <s v="Active"/>
    <d v="2025-08-24T00:00:00"/>
    <n v="16"/>
    <x v="0"/>
    <s v="APAC"/>
    <s v="SGP"/>
    <n v="16"/>
    <n v="86318.080000000002"/>
    <x v="0"/>
    <n v="0"/>
  </r>
  <r>
    <n v="67"/>
    <s v="Izio"/>
    <x v="4"/>
    <d v="2024-07-19T00:00:00"/>
    <x v="2"/>
    <n v="7808.55"/>
    <s v="At-Risk"/>
    <d v="2026-05-08T00:00:00"/>
    <n v="0"/>
    <x v="2"/>
    <s v="EU"/>
    <s v="CENTRAL"/>
    <n v="26"/>
    <n v="203022.30000000002"/>
    <x v="0"/>
    <n v="0"/>
  </r>
  <r>
    <n v="68"/>
    <s v="Twitterworks"/>
    <x v="3"/>
    <d v="2025-03-11T00:00:00"/>
    <x v="0"/>
    <n v="869.29"/>
    <s v="Pending Renewal"/>
    <d v="2025-07-10T00:00:00"/>
    <n v="4"/>
    <x v="4"/>
    <s v="NA"/>
    <s v="EAST"/>
    <n v="18"/>
    <n v="15647.22"/>
    <x v="2"/>
    <n v="0"/>
  </r>
  <r>
    <n v="69"/>
    <s v="Ailane"/>
    <x v="2"/>
    <d v="2024-10-01T00:00:00"/>
    <x v="0"/>
    <n v="7460.33"/>
    <s v="At-Risk"/>
    <d v="2025-08-20T00:00:00"/>
    <n v="4"/>
    <x v="0"/>
    <s v="APAC"/>
    <s v="SGP"/>
    <n v="23"/>
    <n v="171587.59"/>
    <x v="0"/>
    <n v="0"/>
  </r>
  <r>
    <n v="70"/>
    <s v="Yakidoo"/>
    <x v="0"/>
    <d v="2025-06-13T00:00:00"/>
    <x v="2"/>
    <n v="4244.6099999999997"/>
    <s v="At-Risk"/>
    <m/>
    <n v="2"/>
    <x v="2"/>
    <s v="EU"/>
    <s v="CENTRAL"/>
    <n v="15"/>
    <n v="63669.149999999994"/>
    <x v="0"/>
    <n v="0"/>
  </r>
  <r>
    <n v="71"/>
    <s v="Kwimbee"/>
    <x v="1"/>
    <d v="2025-06-09T00:00:00"/>
    <x v="2"/>
    <n v="7549.02"/>
    <s v="Active"/>
    <d v="2025-08-17T00:00:00"/>
    <n v="12"/>
    <x v="2"/>
    <s v="EU"/>
    <s v="CENTRAL"/>
    <n v="15"/>
    <n v="113235.3"/>
    <x v="0"/>
    <n v="0"/>
  </r>
  <r>
    <n v="72"/>
    <s v="Gigaclub"/>
    <x v="0"/>
    <d v="2025-01-03T00:00:00"/>
    <x v="1"/>
    <n v="1708.16"/>
    <s v="At-Risk"/>
    <d v="2026-08-21T00:00:00"/>
    <n v="7"/>
    <x v="3"/>
    <s v="NA"/>
    <s v="WEST"/>
    <n v="20"/>
    <n v="34163.200000000004"/>
    <x v="2"/>
    <n v="0"/>
  </r>
  <r>
    <n v="73"/>
    <s v="Mudo"/>
    <x v="1"/>
    <d v="2025-01-05T00:00:00"/>
    <x v="1"/>
    <n v="12053.16"/>
    <s v="At-Risk"/>
    <d v="2025-11-23T00:00:00"/>
    <n v="14"/>
    <x v="2"/>
    <s v="EU"/>
    <s v="CENTRAL"/>
    <n v="20"/>
    <n v="241063.2"/>
    <x v="1"/>
    <n v="144637.91999999998"/>
  </r>
  <r>
    <n v="74"/>
    <s v="Skippad"/>
    <x v="2"/>
    <d v="2024-04-05T00:00:00"/>
    <x v="1"/>
    <n v="5277.18"/>
    <s v="Churned"/>
    <d v="2025-08-04T00:00:00"/>
    <n v="6"/>
    <x v="0"/>
    <s v="APAC"/>
    <s v="SGP"/>
    <n v="16"/>
    <n v="84434.880000000005"/>
    <x v="2"/>
    <n v="0"/>
  </r>
  <r>
    <n v="75"/>
    <s v="Rhynyx"/>
    <x v="4"/>
    <d v="2024-05-11T00:00:00"/>
    <x v="2"/>
    <n v="4697.8500000000004"/>
    <s v="At-Risk"/>
    <d v="2025-09-18T00:00:00"/>
    <n v="7"/>
    <x v="1"/>
    <s v="MEA"/>
    <s v="EGY"/>
    <n v="28"/>
    <n v="131539.80000000002"/>
    <x v="2"/>
    <n v="0"/>
  </r>
  <r>
    <n v="76"/>
    <s v="Gevee"/>
    <x v="4"/>
    <d v="2025-04-08T00:00:00"/>
    <x v="1"/>
    <n v="6218.87"/>
    <s v="Churned"/>
    <d v="2026-04-19T00:00:00"/>
    <n v="2"/>
    <x v="3"/>
    <s v="NA"/>
    <s v="WEST"/>
    <n v="12"/>
    <n v="74626.44"/>
    <x v="0"/>
    <n v="0"/>
  </r>
  <r>
    <n v="77"/>
    <s v="Ainyx"/>
    <x v="3"/>
    <d v="2024-09-28T00:00:00"/>
    <x v="2"/>
    <n v="2387.6"/>
    <s v="At-Risk"/>
    <d v="2025-08-25T00:00:00"/>
    <n v="3"/>
    <x v="2"/>
    <s v="EU"/>
    <s v="CENTRAL"/>
    <n v="24"/>
    <n v="57302.399999999994"/>
    <x v="0"/>
    <n v="0"/>
  </r>
  <r>
    <n v="78"/>
    <s v="Buzzshare"/>
    <x v="1"/>
    <d v="2024-08-16T00:00:00"/>
    <x v="1"/>
    <n v="6179.56"/>
    <s v="At-Risk"/>
    <d v="2026-01-14T00:00:00"/>
    <n v="3"/>
    <x v="0"/>
    <s v="APAC"/>
    <s v="SGP"/>
    <n v="25"/>
    <n v="154489"/>
    <x v="0"/>
    <n v="0"/>
  </r>
  <r>
    <n v="79"/>
    <s v="Brainbox"/>
    <x v="3"/>
    <d v="2024-09-16T00:00:00"/>
    <x v="1"/>
    <n v="4385.8100000000004"/>
    <s v="Pending Renewal"/>
    <m/>
    <n v="17"/>
    <x v="0"/>
    <s v="APAC"/>
    <s v="SGP"/>
    <n v="24"/>
    <n v="105259.44"/>
    <x v="2"/>
    <n v="0"/>
  </r>
  <r>
    <n v="80"/>
    <s v="Skiptube"/>
    <x v="4"/>
    <d v="2024-04-23T00:00:00"/>
    <x v="1"/>
    <n v="10283.77"/>
    <s v="Active"/>
    <m/>
    <n v="12"/>
    <x v="3"/>
    <s v="NA"/>
    <s v="WEST"/>
    <n v="29"/>
    <n v="298229.33"/>
    <x v="0"/>
    <n v="0"/>
  </r>
  <r>
    <n v="81"/>
    <s v="Devify"/>
    <x v="2"/>
    <d v="2025-01-10T00:00:00"/>
    <x v="2"/>
    <n v="13243.21"/>
    <s v="Churned"/>
    <m/>
    <n v="12"/>
    <x v="4"/>
    <s v="NA"/>
    <s v="EAST"/>
    <n v="20"/>
    <n v="264864.19999999995"/>
    <x v="0"/>
    <n v="0"/>
  </r>
  <r>
    <n v="82"/>
    <s v="Myworks"/>
    <x v="4"/>
    <d v="2025-06-02T00:00:00"/>
    <x v="2"/>
    <n v="10802.47"/>
    <s v="Active"/>
    <d v="2025-09-15T00:00:00"/>
    <n v="12"/>
    <x v="0"/>
    <s v="APAC"/>
    <s v="SGP"/>
    <n v="15"/>
    <n v="162037.04999999999"/>
    <x v="0"/>
    <n v="0"/>
  </r>
  <r>
    <n v="83"/>
    <s v="Abata"/>
    <x v="1"/>
    <d v="2025-05-17T00:00:00"/>
    <x v="0"/>
    <n v="12367.38"/>
    <s v="At-Risk"/>
    <d v="2026-07-04T00:00:00"/>
    <n v="17"/>
    <x v="0"/>
    <s v="APAC"/>
    <s v="SGP"/>
    <n v="16"/>
    <n v="197878.08"/>
    <x v="1"/>
    <n v="148408.56"/>
  </r>
  <r>
    <n v="84"/>
    <s v="Wikido"/>
    <x v="0"/>
    <d v="2025-03-18T00:00:00"/>
    <x v="1"/>
    <n v="7634.17"/>
    <s v="Churned"/>
    <d v="2025-12-11T00:00:00"/>
    <n v="13"/>
    <x v="1"/>
    <s v="MEA"/>
    <s v="EGY"/>
    <n v="9"/>
    <n v="68707.53"/>
    <x v="0"/>
    <n v="0"/>
  </r>
  <r>
    <n v="85"/>
    <s v="Skynoodle"/>
    <x v="0"/>
    <d v="2024-09-13T00:00:00"/>
    <x v="2"/>
    <n v="11897.59"/>
    <s v="Active"/>
    <d v="2026-02-21T00:00:00"/>
    <n v="6"/>
    <x v="0"/>
    <s v="APAC"/>
    <s v="SGP"/>
    <n v="24"/>
    <n v="285542.16000000003"/>
    <x v="2"/>
    <n v="0"/>
  </r>
  <r>
    <n v="86"/>
    <s v="Fivechat"/>
    <x v="4"/>
    <d v="2024-08-07T00:00:00"/>
    <x v="2"/>
    <n v="2841.41"/>
    <s v="Churned"/>
    <d v="2026-06-27T00:00:00"/>
    <n v="17"/>
    <x v="4"/>
    <s v="NA"/>
    <s v="EAST"/>
    <n v="22"/>
    <n v="62511.02"/>
    <x v="0"/>
    <n v="0"/>
  </r>
  <r>
    <n v="87"/>
    <s v="Roodel"/>
    <x v="4"/>
    <d v="2024-12-14T00:00:00"/>
    <x v="0"/>
    <n v="10281.31"/>
    <s v="Pending Renewal"/>
    <d v="2026-01-18T00:00:00"/>
    <n v="13"/>
    <x v="1"/>
    <s v="MEA"/>
    <s v="EGY"/>
    <n v="21"/>
    <n v="215907.50999999998"/>
    <x v="2"/>
    <n v="0"/>
  </r>
  <r>
    <n v="88"/>
    <s v="Topicware"/>
    <x v="1"/>
    <d v="2024-04-29T00:00:00"/>
    <x v="1"/>
    <n v="7028.86"/>
    <s v="At-Risk"/>
    <d v="2026-01-17T00:00:00"/>
    <n v="5"/>
    <x v="0"/>
    <s v="APAC"/>
    <s v="SGP"/>
    <n v="29"/>
    <n v="203836.94"/>
    <x v="2"/>
    <n v="0"/>
  </r>
  <r>
    <n v="89"/>
    <s v="Oyope"/>
    <x v="2"/>
    <d v="2024-03-28T00:00:00"/>
    <x v="1"/>
    <n v="11697.16"/>
    <s v="At-Risk"/>
    <d v="2026-03-28T00:00:00"/>
    <n v="2"/>
    <x v="2"/>
    <s v="EU"/>
    <s v="CENTRAL"/>
    <n v="30"/>
    <n v="350914.8"/>
    <x v="0"/>
    <n v="0"/>
  </r>
  <r>
    <n v="90"/>
    <s v="Skipfire"/>
    <x v="2"/>
    <d v="2024-06-21T00:00:00"/>
    <x v="2"/>
    <n v="7183.13"/>
    <s v="Pending Renewal"/>
    <d v="2026-06-27T00:00:00"/>
    <n v="13"/>
    <x v="3"/>
    <s v="NA"/>
    <s v="WEST"/>
    <n v="27"/>
    <n v="193944.51"/>
    <x v="2"/>
    <n v="0"/>
  </r>
  <r>
    <n v="91"/>
    <s v="Flipbug"/>
    <x v="2"/>
    <d v="2024-11-05T00:00:00"/>
    <x v="2"/>
    <n v="2099.67"/>
    <s v="Churned"/>
    <d v="2026-06-24T00:00:00"/>
    <n v="14"/>
    <x v="2"/>
    <s v="EU"/>
    <s v="CENTRAL"/>
    <n v="19"/>
    <n v="39893.730000000003"/>
    <x v="0"/>
    <n v="0"/>
  </r>
  <r>
    <n v="92"/>
    <s v="Jazzy"/>
    <x v="3"/>
    <d v="2024-06-25T00:00:00"/>
    <x v="2"/>
    <n v="535.48"/>
    <s v="Active"/>
    <d v="2026-03-13T00:00:00"/>
    <n v="17"/>
    <x v="0"/>
    <s v="APAC"/>
    <s v="SGP"/>
    <n v="27"/>
    <n v="14457.960000000001"/>
    <x v="0"/>
    <n v="0"/>
  </r>
  <r>
    <n v="93"/>
    <s v="Feednation"/>
    <x v="1"/>
    <d v="2024-06-23T00:00:00"/>
    <x v="2"/>
    <n v="7692.69"/>
    <s v="Active"/>
    <d v="2025-10-15T00:00:00"/>
    <n v="6"/>
    <x v="4"/>
    <s v="NA"/>
    <s v="EAST"/>
    <n v="27"/>
    <n v="207702.62999999998"/>
    <x v="2"/>
    <n v="0"/>
  </r>
  <r>
    <n v="94"/>
    <s v="Demizz"/>
    <x v="0"/>
    <d v="2024-10-22T00:00:00"/>
    <x v="0"/>
    <n v="7054.14"/>
    <s v="Churned"/>
    <d v="2025-08-25T00:00:00"/>
    <n v="5"/>
    <x v="1"/>
    <s v="MEA"/>
    <s v="EGY"/>
    <n v="10"/>
    <n v="70541.400000000009"/>
    <x v="2"/>
    <n v="0"/>
  </r>
  <r>
    <n v="95"/>
    <s v="Demimbu"/>
    <x v="1"/>
    <d v="2024-04-14T00:00:00"/>
    <x v="1"/>
    <n v="7506.5"/>
    <s v="Active"/>
    <d v="2026-03-16T00:00:00"/>
    <n v="5"/>
    <x v="3"/>
    <s v="NA"/>
    <s v="WEST"/>
    <n v="29"/>
    <n v="217688.5"/>
    <x v="2"/>
    <n v="0"/>
  </r>
  <r>
    <n v="96"/>
    <s v="Ozu"/>
    <x v="2"/>
    <d v="2025-05-28T00:00:00"/>
    <x v="1"/>
    <n v="10563.74"/>
    <s v="Churned"/>
    <d v="2025-10-15T00:00:00"/>
    <n v="11"/>
    <x v="1"/>
    <s v="MEA"/>
    <s v="EGY"/>
    <n v="5"/>
    <n v="52818.7"/>
    <x v="0"/>
    <n v="0"/>
  </r>
  <r>
    <n v="97"/>
    <s v="Yakitri"/>
    <x v="4"/>
    <d v="2025-04-15T00:00:00"/>
    <x v="0"/>
    <n v="4309.12"/>
    <s v="Active"/>
    <m/>
    <n v="17"/>
    <x v="0"/>
    <s v="APAC"/>
    <s v="SGP"/>
    <n v="17"/>
    <n v="73255.039999999994"/>
    <x v="0"/>
    <n v="0"/>
  </r>
  <r>
    <n v="98"/>
    <s v="JumpXS"/>
    <x v="2"/>
    <d v="2025-03-12T00:00:00"/>
    <x v="2"/>
    <n v="4681.7299999999996"/>
    <s v="At-Risk"/>
    <d v="2025-12-16T00:00:00"/>
    <n v="0"/>
    <x v="0"/>
    <s v="APAC"/>
    <s v="SGP"/>
    <n v="18"/>
    <n v="84271.139999999985"/>
    <x v="0"/>
    <n v="0"/>
  </r>
  <r>
    <n v="99"/>
    <s v="Twinder"/>
    <x v="0"/>
    <d v="2024-11-07T00:00:00"/>
    <x v="2"/>
    <n v="11560.41"/>
    <s v="Pending Renewal"/>
    <d v="2026-06-01T00:00:00"/>
    <n v="3"/>
    <x v="2"/>
    <s v="EU"/>
    <s v="CENTRAL"/>
    <n v="22"/>
    <n v="254329.02"/>
    <x v="2"/>
    <n v="0"/>
  </r>
  <r>
    <n v="100"/>
    <s v="Skippad"/>
    <x v="3"/>
    <d v="2024-02-16T00:00:00"/>
    <x v="0"/>
    <n v="12592.13"/>
    <s v="At-Risk"/>
    <d v="2025-08-08T00:00:00"/>
    <n v="11"/>
    <x v="0"/>
    <s v="APAC"/>
    <s v="SGP"/>
    <n v="31"/>
    <n v="390356.02999999997"/>
    <x v="1"/>
    <n v="151105.56"/>
  </r>
  <r>
    <n v="101"/>
    <s v="Bubbletube"/>
    <x v="0"/>
    <d v="2025-01-18T00:00:00"/>
    <x v="2"/>
    <n v="10967.42"/>
    <s v="Churned"/>
    <m/>
    <n v="5"/>
    <x v="0"/>
    <s v="APAC"/>
    <s v="SGP"/>
    <n v="20"/>
    <n v="219348.4"/>
    <x v="2"/>
    <n v="0"/>
  </r>
  <r>
    <n v="102"/>
    <s v="Topdrive"/>
    <x v="4"/>
    <d v="2025-02-05T00:00:00"/>
    <x v="0"/>
    <n v="3944.66"/>
    <s v="Pending Renewal"/>
    <d v="2026-05-24T00:00:00"/>
    <n v="10"/>
    <x v="4"/>
    <s v="NA"/>
    <s v="EAST"/>
    <n v="19"/>
    <n v="74948.539999999994"/>
    <x v="2"/>
    <n v="0"/>
  </r>
  <r>
    <n v="103"/>
    <s v="Wikizz"/>
    <x v="1"/>
    <d v="2024-08-24T00:00:00"/>
    <x v="0"/>
    <n v="14299.59"/>
    <s v="Churned"/>
    <d v="2025-08-23T00:00:00"/>
    <n v="3"/>
    <x v="3"/>
    <s v="NA"/>
    <s v="WEST"/>
    <n v="12"/>
    <n v="171595.08000000002"/>
    <x v="0"/>
    <n v="0"/>
  </r>
  <r>
    <n v="104"/>
    <s v="Thoughtbeat"/>
    <x v="3"/>
    <d v="2024-08-12T00:00:00"/>
    <x v="1"/>
    <n v="5574.31"/>
    <s v="Pending Renewal"/>
    <d v="2025-09-12T00:00:00"/>
    <n v="12"/>
    <x v="2"/>
    <s v="EU"/>
    <s v="CENTRAL"/>
    <n v="25"/>
    <n v="139357.75"/>
    <x v="2"/>
    <n v="0"/>
  </r>
  <r>
    <n v="105"/>
    <s v="Linktype"/>
    <x v="3"/>
    <d v="2024-11-27T00:00:00"/>
    <x v="2"/>
    <n v="2720.54"/>
    <s v="Active"/>
    <d v="2026-08-17T00:00:00"/>
    <n v="0"/>
    <x v="4"/>
    <s v="NA"/>
    <s v="EAST"/>
    <n v="22"/>
    <n v="59851.88"/>
    <x v="0"/>
    <n v="0"/>
  </r>
  <r>
    <n v="106"/>
    <s v="Meevee"/>
    <x v="3"/>
    <d v="2024-10-20T00:00:00"/>
    <x v="1"/>
    <n v="3805.79"/>
    <s v="Pending Renewal"/>
    <d v="2025-11-27T00:00:00"/>
    <n v="14"/>
    <x v="1"/>
    <s v="MEA"/>
    <s v="EGY"/>
    <n v="23"/>
    <n v="87533.17"/>
    <x v="2"/>
    <n v="0"/>
  </r>
  <r>
    <n v="107"/>
    <s v="Kwimbee"/>
    <x v="2"/>
    <d v="2024-08-30T00:00:00"/>
    <x v="1"/>
    <n v="1887.97"/>
    <s v="At-Risk"/>
    <d v="2025-10-09T00:00:00"/>
    <n v="2"/>
    <x v="3"/>
    <s v="NA"/>
    <s v="WEST"/>
    <n v="25"/>
    <n v="47199.25"/>
    <x v="0"/>
    <n v="0"/>
  </r>
  <r>
    <n v="108"/>
    <s v="Dablist"/>
    <x v="4"/>
    <d v="2024-11-22T00:00:00"/>
    <x v="1"/>
    <n v="12761.09"/>
    <s v="Active"/>
    <d v="2026-05-29T00:00:00"/>
    <n v="11"/>
    <x v="2"/>
    <s v="EU"/>
    <s v="CENTRAL"/>
    <n v="22"/>
    <n v="280743.98"/>
    <x v="0"/>
    <n v="0"/>
  </r>
  <r>
    <n v="109"/>
    <s v="Oyonder"/>
    <x v="4"/>
    <d v="2024-05-18T00:00:00"/>
    <x v="2"/>
    <n v="14715.67"/>
    <s v="At-Risk"/>
    <d v="2025-08-09T00:00:00"/>
    <n v="15"/>
    <x v="1"/>
    <s v="MEA"/>
    <s v="EGY"/>
    <n v="28"/>
    <n v="412038.76"/>
    <x v="1"/>
    <n v="176588.04"/>
  </r>
  <r>
    <n v="110"/>
    <s v="Thoughtstorm"/>
    <x v="3"/>
    <d v="2024-06-27T00:00:00"/>
    <x v="2"/>
    <n v="1917.21"/>
    <s v="Active"/>
    <d v="2026-08-20T00:00:00"/>
    <n v="3"/>
    <x v="2"/>
    <s v="EU"/>
    <s v="CENTRAL"/>
    <n v="27"/>
    <n v="51764.67"/>
    <x v="0"/>
    <n v="0"/>
  </r>
  <r>
    <n v="111"/>
    <s v="Tagfeed"/>
    <x v="3"/>
    <d v="2024-05-04T00:00:00"/>
    <x v="1"/>
    <n v="14074.41"/>
    <s v="Pending Renewal"/>
    <d v="2026-07-21T00:00:00"/>
    <n v="3"/>
    <x v="3"/>
    <s v="NA"/>
    <s v="WEST"/>
    <n v="28"/>
    <n v="394083.48"/>
    <x v="2"/>
    <n v="0"/>
  </r>
  <r>
    <n v="112"/>
    <s v="Flashpoint"/>
    <x v="0"/>
    <d v="2024-10-15T00:00:00"/>
    <x v="0"/>
    <n v="3120.29"/>
    <s v="At-Risk"/>
    <d v="2025-10-05T00:00:00"/>
    <n v="11"/>
    <x v="2"/>
    <s v="EU"/>
    <s v="CENTRAL"/>
    <n v="23"/>
    <n v="71766.67"/>
    <x v="1"/>
    <n v="37443.479999999996"/>
  </r>
  <r>
    <n v="113"/>
    <s v="JumpXS"/>
    <x v="1"/>
    <d v="2024-10-24T00:00:00"/>
    <x v="2"/>
    <n v="5161.7299999999996"/>
    <s v="Active"/>
    <d v="2026-02-15T00:00:00"/>
    <n v="2"/>
    <x v="2"/>
    <s v="EU"/>
    <s v="CENTRAL"/>
    <n v="23"/>
    <n v="118719.79"/>
    <x v="0"/>
    <n v="0"/>
  </r>
  <r>
    <n v="114"/>
    <s v="Innojam"/>
    <x v="4"/>
    <d v="2025-02-25T00:00:00"/>
    <x v="1"/>
    <n v="4270.7700000000004"/>
    <s v="Active"/>
    <d v="2026-01-29T00:00:00"/>
    <n v="9"/>
    <x v="1"/>
    <s v="MEA"/>
    <s v="EGY"/>
    <n v="19"/>
    <n v="81144.63"/>
    <x v="2"/>
    <n v="0"/>
  </r>
  <r>
    <n v="115"/>
    <s v="Kanoodle"/>
    <x v="1"/>
    <d v="2025-03-03T00:00:00"/>
    <x v="0"/>
    <n v="3837.25"/>
    <s v="Pending Renewal"/>
    <d v="2026-03-25T00:00:00"/>
    <n v="8"/>
    <x v="1"/>
    <s v="MEA"/>
    <s v="EGY"/>
    <n v="18"/>
    <n v="69070.5"/>
    <x v="2"/>
    <n v="0"/>
  </r>
  <r>
    <n v="116"/>
    <s v="Tazz"/>
    <x v="4"/>
    <d v="2024-05-27T00:00:00"/>
    <x v="2"/>
    <n v="4187.93"/>
    <s v="Pending Renewal"/>
    <m/>
    <n v="14"/>
    <x v="4"/>
    <s v="NA"/>
    <s v="EAST"/>
    <n v="28"/>
    <n v="117262.04000000001"/>
    <x v="2"/>
    <n v="0"/>
  </r>
  <r>
    <n v="117"/>
    <s v="Skaboo"/>
    <x v="4"/>
    <d v="2025-03-24T00:00:00"/>
    <x v="1"/>
    <n v="10278.6"/>
    <s v="Pending Renewal"/>
    <d v="2025-08-19T00:00:00"/>
    <n v="0"/>
    <x v="0"/>
    <s v="APAC"/>
    <s v="SGP"/>
    <n v="18"/>
    <n v="185014.80000000002"/>
    <x v="2"/>
    <n v="0"/>
  </r>
  <r>
    <n v="118"/>
    <s v="Oodoo"/>
    <x v="1"/>
    <d v="2025-05-07T00:00:00"/>
    <x v="2"/>
    <n v="11017.6"/>
    <s v="At-Risk"/>
    <d v="2026-03-05T00:00:00"/>
    <n v="16"/>
    <x v="0"/>
    <s v="APAC"/>
    <s v="SGP"/>
    <n v="16"/>
    <n v="176281.60000000001"/>
    <x v="1"/>
    <n v="132211.20000000001"/>
  </r>
  <r>
    <n v="119"/>
    <s v="Trilia"/>
    <x v="4"/>
    <d v="2024-12-25T00:00:00"/>
    <x v="2"/>
    <n v="11930.52"/>
    <s v="Active"/>
    <d v="2026-08-14T00:00:00"/>
    <n v="6"/>
    <x v="3"/>
    <s v="NA"/>
    <s v="WEST"/>
    <n v="21"/>
    <n v="250540.92"/>
    <x v="2"/>
    <n v="0"/>
  </r>
  <r>
    <n v="120"/>
    <s v="Aivee"/>
    <x v="1"/>
    <d v="2025-05-27T00:00:00"/>
    <x v="1"/>
    <n v="6031.5"/>
    <s v="At-Risk"/>
    <d v="2026-04-25T00:00:00"/>
    <n v="12"/>
    <x v="3"/>
    <s v="NA"/>
    <s v="WEST"/>
    <n v="16"/>
    <n v="96504"/>
    <x v="1"/>
    <n v="72378"/>
  </r>
  <r>
    <n v="121"/>
    <s v="Midel"/>
    <x v="2"/>
    <d v="2024-11-15T00:00:00"/>
    <x v="2"/>
    <n v="8755.2800000000007"/>
    <s v="Pending Renewal"/>
    <d v="2025-07-11T00:00:00"/>
    <n v="0"/>
    <x v="4"/>
    <s v="NA"/>
    <s v="EAST"/>
    <n v="22"/>
    <n v="192616.16"/>
    <x v="2"/>
    <n v="0"/>
  </r>
  <r>
    <n v="122"/>
    <s v="Thoughtbeat"/>
    <x v="1"/>
    <d v="2024-11-18T00:00:00"/>
    <x v="0"/>
    <n v="8882.2099999999991"/>
    <s v="Pending Renewal"/>
    <d v="2026-08-02T00:00:00"/>
    <n v="11"/>
    <x v="3"/>
    <s v="NA"/>
    <s v="WEST"/>
    <n v="22"/>
    <n v="195408.62"/>
    <x v="2"/>
    <n v="0"/>
  </r>
  <r>
    <n v="123"/>
    <s v="Jabbersphere"/>
    <x v="0"/>
    <d v="2024-01-14T00:00:00"/>
    <x v="0"/>
    <n v="2062.08"/>
    <s v="Active"/>
    <d v="2025-10-17T00:00:00"/>
    <n v="0"/>
    <x v="4"/>
    <s v="NA"/>
    <s v="EAST"/>
    <n v="32"/>
    <n v="65986.559999999998"/>
    <x v="0"/>
    <n v="0"/>
  </r>
  <r>
    <n v="124"/>
    <s v="Fliptune"/>
    <x v="2"/>
    <d v="2024-07-10T00:00:00"/>
    <x v="1"/>
    <n v="3074.67"/>
    <s v="Pending Renewal"/>
    <d v="2026-02-21T00:00:00"/>
    <n v="16"/>
    <x v="2"/>
    <s v="EU"/>
    <s v="CENTRAL"/>
    <n v="26"/>
    <n v="79941.42"/>
    <x v="2"/>
    <n v="0"/>
  </r>
  <r>
    <n v="125"/>
    <s v="Realmix"/>
    <x v="0"/>
    <d v="2024-10-26T00:00:00"/>
    <x v="1"/>
    <n v="7068.28"/>
    <s v="At-Risk"/>
    <d v="2026-02-15T00:00:00"/>
    <n v="3"/>
    <x v="1"/>
    <s v="MEA"/>
    <s v="EGY"/>
    <n v="23"/>
    <n v="162570.44"/>
    <x v="0"/>
    <n v="0"/>
  </r>
  <r>
    <n v="126"/>
    <s v="Jaxnation"/>
    <x v="3"/>
    <d v="2024-02-17T00:00:00"/>
    <x v="1"/>
    <n v="3217.1"/>
    <s v="Active"/>
    <m/>
    <n v="4"/>
    <x v="0"/>
    <s v="APAC"/>
    <s v="SGP"/>
    <n v="31"/>
    <n v="99730.099999999991"/>
    <x v="0"/>
    <n v="0"/>
  </r>
  <r>
    <n v="127"/>
    <s v="Ooba"/>
    <x v="0"/>
    <d v="2024-12-18T00:00:00"/>
    <x v="0"/>
    <n v="8372.57"/>
    <s v="Churned"/>
    <d v="2025-11-23T00:00:00"/>
    <n v="12"/>
    <x v="2"/>
    <s v="EU"/>
    <s v="CENTRAL"/>
    <n v="11"/>
    <n v="92098.26999999999"/>
    <x v="0"/>
    <n v="0"/>
  </r>
  <r>
    <n v="128"/>
    <s v="Babbleblab"/>
    <x v="4"/>
    <d v="2024-01-13T00:00:00"/>
    <x v="2"/>
    <n v="850.03"/>
    <s v="At-Risk"/>
    <d v="2025-11-07T00:00:00"/>
    <n v="1"/>
    <x v="1"/>
    <s v="MEA"/>
    <s v="EGY"/>
    <n v="32"/>
    <n v="27200.959999999999"/>
    <x v="0"/>
    <n v="0"/>
  </r>
  <r>
    <n v="129"/>
    <s v="Jaxnation"/>
    <x v="0"/>
    <d v="2025-01-04T00:00:00"/>
    <x v="1"/>
    <n v="9641.2800000000007"/>
    <s v="Pending Renewal"/>
    <d v="2026-01-03T00:00:00"/>
    <n v="10"/>
    <x v="2"/>
    <s v="EU"/>
    <s v="CENTRAL"/>
    <n v="20"/>
    <n v="192825.60000000001"/>
    <x v="2"/>
    <n v="0"/>
  </r>
  <r>
    <n v="130"/>
    <s v="Quimm"/>
    <x v="1"/>
    <d v="2024-02-16T00:00:00"/>
    <x v="2"/>
    <n v="11053.96"/>
    <s v="Active"/>
    <d v="2025-11-05T00:00:00"/>
    <n v="1"/>
    <x v="2"/>
    <s v="EU"/>
    <s v="CENTRAL"/>
    <n v="31"/>
    <n v="342672.75999999995"/>
    <x v="0"/>
    <n v="0"/>
  </r>
  <r>
    <n v="131"/>
    <s v="Avavee"/>
    <x v="2"/>
    <d v="2025-06-15T00:00:00"/>
    <x v="2"/>
    <n v="7543.21"/>
    <s v="Churned"/>
    <d v="2025-08-07T00:00:00"/>
    <n v="18"/>
    <x v="3"/>
    <s v="NA"/>
    <s v="WEST"/>
    <n v="2"/>
    <n v="15086.42"/>
    <x v="0"/>
    <n v="0"/>
  </r>
  <r>
    <n v="132"/>
    <s v="Cogibox"/>
    <x v="2"/>
    <d v="2024-11-25T00:00:00"/>
    <x v="0"/>
    <n v="7715.04"/>
    <s v="Active"/>
    <d v="2026-05-03T00:00:00"/>
    <n v="6"/>
    <x v="0"/>
    <s v="APAC"/>
    <s v="SGP"/>
    <n v="22"/>
    <n v="169730.88"/>
    <x v="2"/>
    <n v="0"/>
  </r>
  <r>
    <n v="133"/>
    <s v="Photolist"/>
    <x v="1"/>
    <d v="2024-02-09T00:00:00"/>
    <x v="2"/>
    <n v="8297.2999999999993"/>
    <s v="Pending Renewal"/>
    <d v="2025-07-10T00:00:00"/>
    <n v="11"/>
    <x v="0"/>
    <s v="APAC"/>
    <s v="SGP"/>
    <n v="31"/>
    <n v="257216.3"/>
    <x v="2"/>
    <n v="0"/>
  </r>
  <r>
    <n v="134"/>
    <s v="Skalith"/>
    <x v="1"/>
    <d v="2024-10-04T00:00:00"/>
    <x v="0"/>
    <n v="10980.63"/>
    <s v="Pending Renewal"/>
    <d v="2025-12-01T00:00:00"/>
    <n v="7"/>
    <x v="2"/>
    <s v="EU"/>
    <s v="CENTRAL"/>
    <n v="23"/>
    <n v="252554.49"/>
    <x v="2"/>
    <n v="0"/>
  </r>
  <r>
    <n v="135"/>
    <s v="Centidel"/>
    <x v="2"/>
    <d v="2024-03-06T00:00:00"/>
    <x v="0"/>
    <n v="6316.33"/>
    <s v="Pending Renewal"/>
    <m/>
    <n v="17"/>
    <x v="2"/>
    <s v="EU"/>
    <s v="CENTRAL"/>
    <n v="30"/>
    <n v="189489.9"/>
    <x v="2"/>
    <n v="0"/>
  </r>
  <r>
    <n v="136"/>
    <s v="Livetube"/>
    <x v="4"/>
    <d v="2024-11-13T00:00:00"/>
    <x v="2"/>
    <n v="12846.16"/>
    <s v="At-Risk"/>
    <d v="2026-08-15T00:00:00"/>
    <n v="5"/>
    <x v="3"/>
    <s v="NA"/>
    <s v="WEST"/>
    <n v="22"/>
    <n v="282615.52"/>
    <x v="2"/>
    <n v="0"/>
  </r>
  <r>
    <n v="137"/>
    <s v="Roodel"/>
    <x v="2"/>
    <d v="2024-04-08T00:00:00"/>
    <x v="1"/>
    <n v="10330.85"/>
    <s v="Churned"/>
    <m/>
    <n v="8"/>
    <x v="2"/>
    <s v="EU"/>
    <s v="CENTRAL"/>
    <n v="29"/>
    <n v="299594.65000000002"/>
    <x v="2"/>
    <n v="0"/>
  </r>
  <r>
    <n v="138"/>
    <s v="Flipopia"/>
    <x v="2"/>
    <d v="2024-07-28T00:00:00"/>
    <x v="0"/>
    <n v="9625.19"/>
    <s v="Churned"/>
    <m/>
    <n v="4"/>
    <x v="4"/>
    <s v="NA"/>
    <s v="EAST"/>
    <n v="26"/>
    <n v="250254.94"/>
    <x v="0"/>
    <n v="0"/>
  </r>
  <r>
    <n v="139"/>
    <s v="Fivebridge"/>
    <x v="2"/>
    <d v="2024-11-28T00:00:00"/>
    <x v="1"/>
    <n v="10967"/>
    <s v="At-Risk"/>
    <m/>
    <n v="1"/>
    <x v="0"/>
    <s v="APAC"/>
    <s v="SGP"/>
    <n v="22"/>
    <n v="241274"/>
    <x v="0"/>
    <n v="0"/>
  </r>
  <r>
    <n v="140"/>
    <s v="Wikivu"/>
    <x v="1"/>
    <d v="2025-04-25T00:00:00"/>
    <x v="2"/>
    <n v="6987.91"/>
    <s v="Churned"/>
    <d v="2026-05-20T00:00:00"/>
    <n v="8"/>
    <x v="3"/>
    <s v="NA"/>
    <s v="WEST"/>
    <n v="13"/>
    <n v="90842.83"/>
    <x v="2"/>
    <n v="0"/>
  </r>
  <r>
    <n v="141"/>
    <s v="Rhynoodle"/>
    <x v="3"/>
    <d v="2025-04-06T00:00:00"/>
    <x v="0"/>
    <n v="14161.26"/>
    <s v="Active"/>
    <d v="2026-08-01T00:00:00"/>
    <n v="15"/>
    <x v="4"/>
    <s v="NA"/>
    <s v="EAST"/>
    <n v="17"/>
    <n v="240741.42"/>
    <x v="0"/>
    <n v="0"/>
  </r>
  <r>
    <n v="142"/>
    <s v="Skipfire"/>
    <x v="0"/>
    <d v="2025-05-09T00:00:00"/>
    <x v="1"/>
    <n v="10531.16"/>
    <s v="At-Risk"/>
    <d v="2026-01-27T00:00:00"/>
    <n v="1"/>
    <x v="3"/>
    <s v="NA"/>
    <s v="WEST"/>
    <n v="16"/>
    <n v="168498.56"/>
    <x v="0"/>
    <n v="0"/>
  </r>
  <r>
    <n v="143"/>
    <s v="Jaxworks"/>
    <x v="4"/>
    <d v="2024-10-21T00:00:00"/>
    <x v="0"/>
    <n v="13305.61"/>
    <s v="Pending Renewal"/>
    <m/>
    <n v="17"/>
    <x v="1"/>
    <s v="MEA"/>
    <s v="EGY"/>
    <n v="23"/>
    <n v="306029.03000000003"/>
    <x v="2"/>
    <n v="0"/>
  </r>
  <r>
    <n v="144"/>
    <s v="Flashspan"/>
    <x v="1"/>
    <d v="2024-11-03T00:00:00"/>
    <x v="0"/>
    <n v="13018.34"/>
    <s v="Active"/>
    <d v="2025-12-25T00:00:00"/>
    <n v="13"/>
    <x v="4"/>
    <s v="NA"/>
    <s v="EAST"/>
    <n v="22"/>
    <n v="286403.48"/>
    <x v="0"/>
    <n v="0"/>
  </r>
  <r>
    <n v="145"/>
    <s v="Vinder"/>
    <x v="0"/>
    <d v="2024-11-07T00:00:00"/>
    <x v="1"/>
    <n v="7822.74"/>
    <s v="Active"/>
    <m/>
    <n v="9"/>
    <x v="2"/>
    <s v="EU"/>
    <s v="CENTRAL"/>
    <n v="22"/>
    <n v="172100.28"/>
    <x v="2"/>
    <n v="0"/>
  </r>
  <r>
    <n v="146"/>
    <s v="Pixope"/>
    <x v="1"/>
    <d v="2025-06-09T00:00:00"/>
    <x v="1"/>
    <n v="8502.6200000000008"/>
    <s v="Churned"/>
    <d v="2026-06-26T00:00:00"/>
    <n v="8"/>
    <x v="0"/>
    <s v="APAC"/>
    <s v="SGP"/>
    <n v="12"/>
    <n v="102031.44"/>
    <x v="2"/>
    <n v="0"/>
  </r>
  <r>
    <n v="147"/>
    <s v="Npath"/>
    <x v="3"/>
    <d v="2024-07-13T00:00:00"/>
    <x v="2"/>
    <n v="11159.47"/>
    <s v="At-Risk"/>
    <d v="2026-05-09T00:00:00"/>
    <n v="9"/>
    <x v="3"/>
    <s v="NA"/>
    <s v="WEST"/>
    <n v="26"/>
    <n v="290146.21999999997"/>
    <x v="2"/>
    <n v="0"/>
  </r>
  <r>
    <n v="148"/>
    <s v="Skivee"/>
    <x v="0"/>
    <d v="2024-08-15T00:00:00"/>
    <x v="1"/>
    <n v="12769.7"/>
    <s v="At-Risk"/>
    <d v="2026-03-29T00:00:00"/>
    <n v="11"/>
    <x v="0"/>
    <s v="APAC"/>
    <s v="SGP"/>
    <n v="25"/>
    <n v="319242.5"/>
    <x v="1"/>
    <n v="153236.40000000002"/>
  </r>
  <r>
    <n v="149"/>
    <s v="Linklinks"/>
    <x v="4"/>
    <d v="2024-05-11T00:00:00"/>
    <x v="0"/>
    <n v="10592.91"/>
    <s v="Churned"/>
    <d v="2026-06-15T00:00:00"/>
    <n v="0"/>
    <x v="0"/>
    <s v="APAC"/>
    <s v="SGP"/>
    <n v="25"/>
    <n v="264822.75"/>
    <x v="0"/>
    <n v="0"/>
  </r>
  <r>
    <n v="150"/>
    <s v="Kamba"/>
    <x v="4"/>
    <d v="2024-02-12T00:00:00"/>
    <x v="2"/>
    <n v="9803.27"/>
    <s v="Churned"/>
    <m/>
    <n v="7"/>
    <x v="2"/>
    <s v="EU"/>
    <s v="CENTRAL"/>
    <n v="31"/>
    <n v="303901.37"/>
    <x v="2"/>
    <n v="0"/>
  </r>
  <r>
    <n v="151"/>
    <s v="Thoughtbridge"/>
    <x v="0"/>
    <d v="2025-06-20T00:00:00"/>
    <x v="0"/>
    <n v="10642.24"/>
    <s v="At-Risk"/>
    <d v="2025-08-26T00:00:00"/>
    <n v="1"/>
    <x v="4"/>
    <s v="NA"/>
    <s v="EAST"/>
    <n v="15"/>
    <n v="159633.60000000001"/>
    <x v="0"/>
    <n v="0"/>
  </r>
  <r>
    <n v="152"/>
    <s v="Thoughtbridge"/>
    <x v="2"/>
    <d v="2025-05-05T00:00:00"/>
    <x v="0"/>
    <n v="2784.7"/>
    <s v="Pending Renewal"/>
    <d v="2025-12-18T00:00:00"/>
    <n v="18"/>
    <x v="1"/>
    <s v="MEA"/>
    <s v="EGY"/>
    <n v="16"/>
    <n v="44555.199999999997"/>
    <x v="2"/>
    <n v="0"/>
  </r>
  <r>
    <n v="153"/>
    <s v="Eayo"/>
    <x v="3"/>
    <d v="2024-10-16T00:00:00"/>
    <x v="1"/>
    <n v="8882.58"/>
    <s v="Churned"/>
    <m/>
    <n v="13"/>
    <x v="2"/>
    <s v="EU"/>
    <s v="CENTRAL"/>
    <n v="23"/>
    <n v="204299.34"/>
    <x v="0"/>
    <n v="0"/>
  </r>
  <r>
    <n v="154"/>
    <s v="Gabcube"/>
    <x v="1"/>
    <d v="2024-04-08T00:00:00"/>
    <x v="0"/>
    <n v="9482.06"/>
    <s v="At-Risk"/>
    <d v="2025-07-10T00:00:00"/>
    <n v="10"/>
    <x v="1"/>
    <s v="MEA"/>
    <s v="EGY"/>
    <n v="29"/>
    <n v="274979.74"/>
    <x v="2"/>
    <n v="0"/>
  </r>
  <r>
    <n v="155"/>
    <s v="Tagchat"/>
    <x v="3"/>
    <d v="2024-08-24T00:00:00"/>
    <x v="2"/>
    <n v="12986.44"/>
    <s v="At-Risk"/>
    <d v="2026-05-10T00:00:00"/>
    <n v="1"/>
    <x v="4"/>
    <s v="NA"/>
    <s v="EAST"/>
    <n v="25"/>
    <n v="324661"/>
    <x v="0"/>
    <n v="0"/>
  </r>
  <r>
    <n v="156"/>
    <s v="Jabberbean"/>
    <x v="2"/>
    <d v="2025-03-15T00:00:00"/>
    <x v="2"/>
    <n v="13557.51"/>
    <s v="At-Risk"/>
    <d v="2025-12-06T00:00:00"/>
    <n v="17"/>
    <x v="4"/>
    <s v="NA"/>
    <s v="EAST"/>
    <n v="18"/>
    <n v="244035.18"/>
    <x v="1"/>
    <n v="162690.12"/>
  </r>
  <r>
    <n v="157"/>
    <s v="Linkbridge"/>
    <x v="0"/>
    <d v="2024-02-13T00:00:00"/>
    <x v="2"/>
    <n v="2982.82"/>
    <s v="At-Risk"/>
    <d v="2026-04-04T00:00:00"/>
    <n v="14"/>
    <x v="3"/>
    <s v="NA"/>
    <s v="WEST"/>
    <n v="31"/>
    <n v="92467.42"/>
    <x v="1"/>
    <n v="35793.840000000004"/>
  </r>
  <r>
    <n v="158"/>
    <s v="Riffpath"/>
    <x v="4"/>
    <d v="2025-02-22T00:00:00"/>
    <x v="1"/>
    <n v="13234.25"/>
    <s v="Churned"/>
    <m/>
    <n v="18"/>
    <x v="0"/>
    <s v="APAC"/>
    <s v="SGP"/>
    <n v="19"/>
    <n v="251450.75"/>
    <x v="0"/>
    <n v="0"/>
  </r>
  <r>
    <n v="159"/>
    <s v="Meevee"/>
    <x v="4"/>
    <d v="2025-01-12T00:00:00"/>
    <x v="2"/>
    <n v="7967.62"/>
    <s v="Churned"/>
    <d v="2026-06-19T00:00:00"/>
    <n v="15"/>
    <x v="0"/>
    <s v="APAC"/>
    <s v="SGP"/>
    <n v="17"/>
    <n v="135449.54"/>
    <x v="0"/>
    <n v="0"/>
  </r>
  <r>
    <n v="160"/>
    <s v="Blognation"/>
    <x v="3"/>
    <d v="2025-04-22T00:00:00"/>
    <x v="1"/>
    <n v="5617.66"/>
    <s v="Active"/>
    <d v="2026-07-02T00:00:00"/>
    <n v="13"/>
    <x v="4"/>
    <s v="NA"/>
    <s v="EAST"/>
    <n v="17"/>
    <n v="95500.22"/>
    <x v="0"/>
    <n v="0"/>
  </r>
  <r>
    <n v="161"/>
    <s v="Bubblemix"/>
    <x v="2"/>
    <d v="2024-06-22T00:00:00"/>
    <x v="0"/>
    <n v="8282.32"/>
    <s v="Active"/>
    <d v="2026-02-21T00:00:00"/>
    <n v="7"/>
    <x v="0"/>
    <s v="APAC"/>
    <s v="SGP"/>
    <n v="27"/>
    <n v="223622.63999999998"/>
    <x v="2"/>
    <n v="0"/>
  </r>
  <r>
    <n v="162"/>
    <s v="Realblab"/>
    <x v="0"/>
    <d v="2025-01-17T00:00:00"/>
    <x v="2"/>
    <n v="14463.88"/>
    <s v="Active"/>
    <d v="2025-10-05T00:00:00"/>
    <n v="3"/>
    <x v="0"/>
    <s v="APAC"/>
    <s v="SGP"/>
    <n v="20"/>
    <n v="289277.59999999998"/>
    <x v="0"/>
    <n v="0"/>
  </r>
  <r>
    <n v="163"/>
    <s v="Quimm"/>
    <x v="0"/>
    <d v="2024-02-23T00:00:00"/>
    <x v="0"/>
    <n v="6203.46"/>
    <s v="Active"/>
    <m/>
    <n v="13"/>
    <x v="1"/>
    <s v="MEA"/>
    <s v="EGY"/>
    <n v="31"/>
    <n v="192307.26"/>
    <x v="0"/>
    <n v="0"/>
  </r>
  <r>
    <n v="164"/>
    <s v="Riffwire"/>
    <x v="3"/>
    <d v="2024-09-07T00:00:00"/>
    <x v="1"/>
    <n v="13393.44"/>
    <s v="Active"/>
    <d v="2026-04-16T00:00:00"/>
    <n v="17"/>
    <x v="4"/>
    <s v="NA"/>
    <s v="EAST"/>
    <n v="24"/>
    <n v="321442.56"/>
    <x v="0"/>
    <n v="0"/>
  </r>
  <r>
    <n v="165"/>
    <s v="Gabcube"/>
    <x v="1"/>
    <d v="2024-02-20T00:00:00"/>
    <x v="1"/>
    <n v="8770.24"/>
    <s v="At-Risk"/>
    <m/>
    <n v="9"/>
    <x v="3"/>
    <s v="NA"/>
    <s v="WEST"/>
    <n v="31"/>
    <n v="271877.44"/>
    <x v="2"/>
    <n v="0"/>
  </r>
  <r>
    <n v="166"/>
    <s v="Youspan"/>
    <x v="4"/>
    <d v="2024-08-17T00:00:00"/>
    <x v="1"/>
    <n v="5240.21"/>
    <s v="At-Risk"/>
    <m/>
    <n v="18"/>
    <x v="4"/>
    <s v="NA"/>
    <s v="EAST"/>
    <n v="25"/>
    <n v="131005.25"/>
    <x v="1"/>
    <n v="62882.520000000004"/>
  </r>
  <r>
    <n v="167"/>
    <s v="Trilith"/>
    <x v="1"/>
    <d v="2025-04-21T00:00:00"/>
    <x v="1"/>
    <n v="13415.79"/>
    <s v="Churned"/>
    <d v="2026-03-18T00:00:00"/>
    <n v="17"/>
    <x v="0"/>
    <s v="APAC"/>
    <s v="SGP"/>
    <n v="11"/>
    <n v="147573.69"/>
    <x v="0"/>
    <n v="0"/>
  </r>
  <r>
    <n v="168"/>
    <s v="Quatz"/>
    <x v="3"/>
    <d v="2024-07-16T00:00:00"/>
    <x v="1"/>
    <n v="13114.96"/>
    <s v="Active"/>
    <d v="2026-07-24T00:00:00"/>
    <n v="10"/>
    <x v="3"/>
    <s v="NA"/>
    <s v="WEST"/>
    <n v="26"/>
    <n v="340988.95999999996"/>
    <x v="2"/>
    <n v="0"/>
  </r>
  <r>
    <n v="169"/>
    <s v="Buzzshare"/>
    <x v="0"/>
    <d v="2025-04-22T00:00:00"/>
    <x v="2"/>
    <n v="8214.07"/>
    <s v="At-Risk"/>
    <d v="2026-04-26T00:00:00"/>
    <n v="3"/>
    <x v="1"/>
    <s v="MEA"/>
    <s v="EGY"/>
    <n v="17"/>
    <n v="139639.19"/>
    <x v="0"/>
    <n v="0"/>
  </r>
  <r>
    <n v="170"/>
    <s v="Pixonyx"/>
    <x v="4"/>
    <d v="2025-02-25T00:00:00"/>
    <x v="1"/>
    <n v="3566.4"/>
    <s v="At-Risk"/>
    <d v="2026-07-28T00:00:00"/>
    <n v="11"/>
    <x v="4"/>
    <s v="NA"/>
    <s v="EAST"/>
    <n v="19"/>
    <n v="67761.600000000006"/>
    <x v="1"/>
    <n v="42796.800000000003"/>
  </r>
  <r>
    <n v="171"/>
    <s v="Voolia"/>
    <x v="0"/>
    <d v="2024-10-16T00:00:00"/>
    <x v="2"/>
    <n v="10112.209999999999"/>
    <s v="Churned"/>
    <d v="2025-08-08T00:00:00"/>
    <n v="10"/>
    <x v="2"/>
    <s v="EU"/>
    <s v="CENTRAL"/>
    <n v="10"/>
    <n v="101122.09999999999"/>
    <x v="2"/>
    <n v="0"/>
  </r>
  <r>
    <n v="172"/>
    <s v="Eire"/>
    <x v="4"/>
    <d v="2024-08-13T00:00:00"/>
    <x v="2"/>
    <n v="10938.23"/>
    <s v="At-Risk"/>
    <d v="2026-05-12T00:00:00"/>
    <n v="11"/>
    <x v="4"/>
    <s v="NA"/>
    <s v="EAST"/>
    <n v="25"/>
    <n v="273455.75"/>
    <x v="1"/>
    <n v="131258.76"/>
  </r>
  <r>
    <n v="173"/>
    <s v="Einti"/>
    <x v="2"/>
    <d v="2024-07-14T00:00:00"/>
    <x v="2"/>
    <n v="11217.64"/>
    <s v="At-Risk"/>
    <m/>
    <n v="11"/>
    <x v="3"/>
    <s v="NA"/>
    <s v="WEST"/>
    <n v="26"/>
    <n v="291658.64"/>
    <x v="1"/>
    <n v="134611.68"/>
  </r>
  <r>
    <n v="174"/>
    <s v="Fliptune"/>
    <x v="0"/>
    <d v="2024-07-30T00:00:00"/>
    <x v="0"/>
    <n v="11957.92"/>
    <s v="Pending Renewal"/>
    <m/>
    <n v="12"/>
    <x v="2"/>
    <s v="EU"/>
    <s v="CENTRAL"/>
    <n v="26"/>
    <n v="310905.92"/>
    <x v="2"/>
    <n v="0"/>
  </r>
  <r>
    <n v="175"/>
    <s v="Muxo"/>
    <x v="2"/>
    <d v="2025-04-12T00:00:00"/>
    <x v="2"/>
    <n v="9650.44"/>
    <s v="Active"/>
    <d v="2026-02-12T00:00:00"/>
    <n v="17"/>
    <x v="3"/>
    <s v="NA"/>
    <s v="WEST"/>
    <n v="17"/>
    <n v="164057.48000000001"/>
    <x v="0"/>
    <n v="0"/>
  </r>
  <r>
    <n v="176"/>
    <s v="Linklinks"/>
    <x v="4"/>
    <d v="2024-02-03T00:00:00"/>
    <x v="0"/>
    <n v="10137.98"/>
    <s v="Pending Renewal"/>
    <m/>
    <n v="10"/>
    <x v="0"/>
    <s v="APAC"/>
    <s v="SGP"/>
    <n v="31"/>
    <n v="314277.38"/>
    <x v="2"/>
    <n v="0"/>
  </r>
  <r>
    <n v="177"/>
    <s v="Mynte"/>
    <x v="0"/>
    <d v="2024-04-05T00:00:00"/>
    <x v="2"/>
    <n v="12515.19"/>
    <s v="At-Risk"/>
    <d v="2026-04-07T00:00:00"/>
    <n v="17"/>
    <x v="3"/>
    <s v="NA"/>
    <s v="WEST"/>
    <n v="29"/>
    <n v="362940.51"/>
    <x v="1"/>
    <n v="150182.28"/>
  </r>
  <r>
    <n v="178"/>
    <s v="Yodel"/>
    <x v="2"/>
    <d v="2024-07-27T00:00:00"/>
    <x v="1"/>
    <n v="2022.19"/>
    <s v="At-Risk"/>
    <d v="2026-03-11T00:00:00"/>
    <n v="9"/>
    <x v="1"/>
    <s v="MEA"/>
    <s v="EGY"/>
    <n v="26"/>
    <n v="52576.94"/>
    <x v="2"/>
    <n v="0"/>
  </r>
  <r>
    <n v="179"/>
    <s v="Kare"/>
    <x v="2"/>
    <d v="2025-06-05T00:00:00"/>
    <x v="1"/>
    <n v="4713.26"/>
    <s v="Active"/>
    <d v="2026-04-01T00:00:00"/>
    <n v="16"/>
    <x v="0"/>
    <s v="APAC"/>
    <s v="SGP"/>
    <n v="15"/>
    <n v="70698.900000000009"/>
    <x v="0"/>
    <n v="0"/>
  </r>
  <r>
    <n v="180"/>
    <s v="Twitterlist"/>
    <x v="4"/>
    <d v="2025-01-22T00:00:00"/>
    <x v="2"/>
    <n v="9806.9"/>
    <s v="Churned"/>
    <d v="2025-12-10T00:00:00"/>
    <n v="17"/>
    <x v="4"/>
    <s v="NA"/>
    <s v="EAST"/>
    <n v="11"/>
    <n v="107875.9"/>
    <x v="0"/>
    <n v="0"/>
  </r>
  <r>
    <n v="181"/>
    <s v="Camimbo"/>
    <x v="1"/>
    <d v="2024-09-07T00:00:00"/>
    <x v="1"/>
    <n v="4211.84"/>
    <s v="Active"/>
    <d v="2026-07-18T00:00:00"/>
    <n v="16"/>
    <x v="2"/>
    <s v="EU"/>
    <s v="CENTRAL"/>
    <n v="24"/>
    <n v="101084.16"/>
    <x v="0"/>
    <n v="0"/>
  </r>
  <r>
    <n v="182"/>
    <s v="Skivee"/>
    <x v="3"/>
    <d v="2024-04-27T00:00:00"/>
    <x v="0"/>
    <n v="1999.89"/>
    <s v="At-Risk"/>
    <d v="2025-11-01T00:00:00"/>
    <n v="9"/>
    <x v="4"/>
    <s v="NA"/>
    <s v="EAST"/>
    <n v="29"/>
    <n v="57996.810000000005"/>
    <x v="2"/>
    <n v="0"/>
  </r>
  <r>
    <n v="183"/>
    <s v="Fiveclub"/>
    <x v="4"/>
    <d v="2024-04-28T00:00:00"/>
    <x v="2"/>
    <n v="5963.49"/>
    <s v="Churned"/>
    <d v="2025-10-02T00:00:00"/>
    <n v="3"/>
    <x v="2"/>
    <s v="EU"/>
    <s v="CENTRAL"/>
    <n v="18"/>
    <n v="107342.81999999999"/>
    <x v="0"/>
    <n v="0"/>
  </r>
  <r>
    <n v="184"/>
    <s v="Browsedrive"/>
    <x v="4"/>
    <d v="2024-02-22T00:00:00"/>
    <x v="1"/>
    <n v="11775.94"/>
    <s v="Pending Renewal"/>
    <d v="2026-06-30T00:00:00"/>
    <n v="17"/>
    <x v="0"/>
    <s v="APAC"/>
    <s v="SGP"/>
    <n v="31"/>
    <n v="365054.14"/>
    <x v="2"/>
    <n v="0"/>
  </r>
  <r>
    <n v="185"/>
    <s v="Realbridge"/>
    <x v="4"/>
    <d v="2025-05-11T00:00:00"/>
    <x v="2"/>
    <n v="9116.6"/>
    <s v="Pending Renewal"/>
    <m/>
    <n v="4"/>
    <x v="3"/>
    <s v="NA"/>
    <s v="WEST"/>
    <n v="16"/>
    <n v="145865.60000000001"/>
    <x v="2"/>
    <n v="0"/>
  </r>
  <r>
    <n v="186"/>
    <s v="Fadeo"/>
    <x v="0"/>
    <d v="2024-06-25T00:00:00"/>
    <x v="0"/>
    <n v="3186.12"/>
    <s v="Churned"/>
    <d v="2026-07-05T00:00:00"/>
    <n v="2"/>
    <x v="1"/>
    <s v="MEA"/>
    <s v="EGY"/>
    <n v="25"/>
    <n v="79653"/>
    <x v="0"/>
    <n v="0"/>
  </r>
  <r>
    <n v="187"/>
    <s v="Vidoo"/>
    <x v="2"/>
    <d v="2024-12-03T00:00:00"/>
    <x v="0"/>
    <n v="11508.55"/>
    <s v="Churned"/>
    <d v="2026-04-23T00:00:00"/>
    <n v="7"/>
    <x v="1"/>
    <s v="MEA"/>
    <s v="EGY"/>
    <n v="16"/>
    <n v="184136.8"/>
    <x v="2"/>
    <n v="0"/>
  </r>
  <r>
    <n v="188"/>
    <s v="Gabtype"/>
    <x v="3"/>
    <d v="2024-04-03T00:00:00"/>
    <x v="0"/>
    <n v="6433.4"/>
    <s v="Active"/>
    <d v="2026-07-27T00:00:00"/>
    <n v="18"/>
    <x v="0"/>
    <s v="APAC"/>
    <s v="SGP"/>
    <n v="29"/>
    <n v="186568.59999999998"/>
    <x v="0"/>
    <n v="0"/>
  </r>
  <r>
    <n v="189"/>
    <s v="Thoughtworks"/>
    <x v="2"/>
    <d v="2025-06-17T00:00:00"/>
    <x v="1"/>
    <n v="5543.12"/>
    <s v="Active"/>
    <d v="2026-05-30T00:00:00"/>
    <n v="1"/>
    <x v="3"/>
    <s v="NA"/>
    <s v="WEST"/>
    <n v="15"/>
    <n v="83146.8"/>
    <x v="0"/>
    <n v="0"/>
  </r>
  <r>
    <n v="190"/>
    <s v="Zoovu"/>
    <x v="2"/>
    <d v="2024-01-10T00:00:00"/>
    <x v="0"/>
    <n v="10917.92"/>
    <s v="At-Risk"/>
    <d v="2025-11-12T00:00:00"/>
    <n v="11"/>
    <x v="0"/>
    <s v="APAC"/>
    <s v="SGP"/>
    <n v="32"/>
    <n v="349373.44"/>
    <x v="1"/>
    <n v="131015.04000000001"/>
  </r>
  <r>
    <n v="191"/>
    <s v="Voonyx"/>
    <x v="0"/>
    <d v="2024-01-25T00:00:00"/>
    <x v="2"/>
    <n v="3589.16"/>
    <s v="At-Risk"/>
    <d v="2025-07-31T00:00:00"/>
    <n v="9"/>
    <x v="4"/>
    <s v="NA"/>
    <s v="EAST"/>
    <n v="32"/>
    <n v="114853.12"/>
    <x v="2"/>
    <n v="0"/>
  </r>
  <r>
    <n v="192"/>
    <s v="Livetube"/>
    <x v="3"/>
    <d v="2024-11-10T00:00:00"/>
    <x v="1"/>
    <n v="6536.71"/>
    <s v="Pending Renewal"/>
    <d v="2025-07-11T00:00:00"/>
    <n v="10"/>
    <x v="4"/>
    <s v="NA"/>
    <s v="EAST"/>
    <n v="22"/>
    <n v="143807.62"/>
    <x v="2"/>
    <n v="0"/>
  </r>
  <r>
    <n v="193"/>
    <s v="Jabbertype"/>
    <x v="0"/>
    <d v="2024-07-27T00:00:00"/>
    <x v="1"/>
    <n v="2089.9299999999998"/>
    <s v="Active"/>
    <d v="2026-06-01T00:00:00"/>
    <n v="0"/>
    <x v="4"/>
    <s v="NA"/>
    <s v="EAST"/>
    <n v="26"/>
    <n v="54338.179999999993"/>
    <x v="0"/>
    <n v="0"/>
  </r>
  <r>
    <n v="194"/>
    <s v="Fivechat"/>
    <x v="3"/>
    <d v="2025-02-17T00:00:00"/>
    <x v="1"/>
    <n v="14876.47"/>
    <s v="Churned"/>
    <d v="2025-12-13T00:00:00"/>
    <n v="7"/>
    <x v="2"/>
    <s v="EU"/>
    <s v="CENTRAL"/>
    <n v="10"/>
    <n v="148764.69999999998"/>
    <x v="2"/>
    <n v="0"/>
  </r>
  <r>
    <n v="195"/>
    <s v="Devbug"/>
    <x v="1"/>
    <d v="2025-06-11T00:00:00"/>
    <x v="2"/>
    <n v="13359.93"/>
    <s v="At-Risk"/>
    <d v="2025-12-10T00:00:00"/>
    <n v="15"/>
    <x v="0"/>
    <s v="APAC"/>
    <s v="SGP"/>
    <n v="15"/>
    <n v="200398.95"/>
    <x v="1"/>
    <n v="160319.16"/>
  </r>
  <r>
    <n v="196"/>
    <s v="Kimia"/>
    <x v="4"/>
    <d v="2024-10-20T00:00:00"/>
    <x v="0"/>
    <n v="2200.46"/>
    <s v="At-Risk"/>
    <m/>
    <n v="17"/>
    <x v="0"/>
    <s v="APAC"/>
    <s v="SGP"/>
    <n v="23"/>
    <n v="50610.58"/>
    <x v="1"/>
    <n v="26405.52"/>
  </r>
  <r>
    <n v="197"/>
    <s v="Wikizz"/>
    <x v="0"/>
    <d v="2024-01-25T00:00:00"/>
    <x v="0"/>
    <n v="1206.05"/>
    <s v="Pending Renewal"/>
    <d v="2025-11-29T00:00:00"/>
    <n v="12"/>
    <x v="1"/>
    <s v="MEA"/>
    <s v="EGY"/>
    <n v="32"/>
    <n v="38593.599999999999"/>
    <x v="2"/>
    <n v="0"/>
  </r>
  <r>
    <n v="198"/>
    <s v="Zava"/>
    <x v="4"/>
    <d v="2025-04-18T00:00:00"/>
    <x v="1"/>
    <n v="14597.21"/>
    <s v="At-Risk"/>
    <m/>
    <n v="3"/>
    <x v="4"/>
    <s v="NA"/>
    <s v="EAST"/>
    <n v="17"/>
    <n v="248152.56999999998"/>
    <x v="0"/>
    <n v="0"/>
  </r>
  <r>
    <n v="199"/>
    <s v="Avaveo"/>
    <x v="3"/>
    <d v="2024-03-31T00:00:00"/>
    <x v="0"/>
    <n v="1784.38"/>
    <s v="Churned"/>
    <d v="2025-09-22T00:00:00"/>
    <n v="14"/>
    <x v="4"/>
    <s v="NA"/>
    <s v="EAST"/>
    <n v="18"/>
    <n v="32118.840000000004"/>
    <x v="0"/>
    <n v="0"/>
  </r>
  <r>
    <n v="200"/>
    <s v="Livetube"/>
    <x v="1"/>
    <d v="2025-03-15T00:00:00"/>
    <x v="2"/>
    <n v="6967.75"/>
    <s v="At-Risk"/>
    <d v="2025-12-17T00:00:00"/>
    <n v="3"/>
    <x v="4"/>
    <s v="NA"/>
    <s v="EAST"/>
    <n v="18"/>
    <n v="125419.5"/>
    <x v="0"/>
    <n v="0"/>
  </r>
  <r>
    <n v="201"/>
    <s v="Vidoo"/>
    <x v="0"/>
    <d v="2024-03-25T00:00:00"/>
    <x v="1"/>
    <n v="5363.65"/>
    <s v="Active"/>
    <d v="2026-08-17T00:00:00"/>
    <n v="5"/>
    <x v="3"/>
    <s v="NA"/>
    <s v="WEST"/>
    <n v="30"/>
    <n v="160909.5"/>
    <x v="2"/>
    <n v="0"/>
  </r>
  <r>
    <n v="202"/>
    <s v="JumpXS"/>
    <x v="0"/>
    <d v="2024-07-01T00:00:00"/>
    <x v="1"/>
    <n v="3692.98"/>
    <s v="Churned"/>
    <d v="2026-07-04T00:00:00"/>
    <n v="14"/>
    <x v="4"/>
    <s v="NA"/>
    <s v="EAST"/>
    <n v="24"/>
    <n v="88631.52"/>
    <x v="0"/>
    <n v="0"/>
  </r>
  <r>
    <n v="203"/>
    <s v="Oba"/>
    <x v="3"/>
    <d v="2025-05-13T00:00:00"/>
    <x v="0"/>
    <n v="7820.83"/>
    <s v="Active"/>
    <d v="2025-12-30T00:00:00"/>
    <n v="14"/>
    <x v="3"/>
    <s v="NA"/>
    <s v="WEST"/>
    <n v="16"/>
    <n v="125133.28"/>
    <x v="0"/>
    <n v="0"/>
  </r>
  <r>
    <n v="204"/>
    <s v="Teklist"/>
    <x v="0"/>
    <d v="2024-02-29T00:00:00"/>
    <x v="1"/>
    <n v="2601.86"/>
    <s v="Active"/>
    <d v="2026-04-08T00:00:00"/>
    <n v="18"/>
    <x v="1"/>
    <s v="MEA"/>
    <s v="EGY"/>
    <n v="31"/>
    <n v="80657.66"/>
    <x v="0"/>
    <n v="0"/>
  </r>
  <r>
    <n v="205"/>
    <s v="Latz"/>
    <x v="1"/>
    <d v="2024-04-03T00:00:00"/>
    <x v="0"/>
    <n v="8155.67"/>
    <s v="Active"/>
    <m/>
    <n v="0"/>
    <x v="3"/>
    <s v="NA"/>
    <s v="WEST"/>
    <n v="29"/>
    <n v="236514.43"/>
    <x v="0"/>
    <n v="0"/>
  </r>
  <r>
    <n v="206"/>
    <s v="Buzzdog"/>
    <x v="2"/>
    <d v="2024-11-12T00:00:00"/>
    <x v="0"/>
    <n v="14579.16"/>
    <s v="Pending Renewal"/>
    <d v="2026-01-31T00:00:00"/>
    <n v="17"/>
    <x v="2"/>
    <s v="EU"/>
    <s v="CENTRAL"/>
    <n v="22"/>
    <n v="320741.52"/>
    <x v="2"/>
    <n v="0"/>
  </r>
  <r>
    <n v="207"/>
    <s v="Meezzy"/>
    <x v="2"/>
    <d v="2024-03-25T00:00:00"/>
    <x v="0"/>
    <n v="3094.81"/>
    <s v="Active"/>
    <d v="2025-10-30T00:00:00"/>
    <n v="14"/>
    <x v="2"/>
    <s v="EU"/>
    <s v="CENTRAL"/>
    <n v="30"/>
    <n v="92844.3"/>
    <x v="0"/>
    <n v="0"/>
  </r>
  <r>
    <n v="208"/>
    <s v="Edgepulse"/>
    <x v="2"/>
    <d v="2025-03-19T00:00:00"/>
    <x v="1"/>
    <n v="1193.0899999999999"/>
    <s v="Churned"/>
    <d v="2025-08-29T00:00:00"/>
    <n v="12"/>
    <x v="0"/>
    <s v="APAC"/>
    <s v="SGP"/>
    <n v="5"/>
    <n v="5965.45"/>
    <x v="0"/>
    <n v="0"/>
  </r>
  <r>
    <n v="209"/>
    <s v="Avaveo"/>
    <x v="1"/>
    <d v="2025-02-28T00:00:00"/>
    <x v="0"/>
    <n v="6506.72"/>
    <s v="At-Risk"/>
    <d v="2025-08-04T00:00:00"/>
    <n v="4"/>
    <x v="2"/>
    <s v="EU"/>
    <s v="CENTRAL"/>
    <n v="19"/>
    <n v="123627.68000000001"/>
    <x v="0"/>
    <n v="0"/>
  </r>
  <r>
    <n v="210"/>
    <s v="Rhyloo"/>
    <x v="0"/>
    <d v="2024-06-12T00:00:00"/>
    <x v="1"/>
    <n v="9219.61"/>
    <s v="Pending Renewal"/>
    <d v="2025-07-31T00:00:00"/>
    <n v="18"/>
    <x v="4"/>
    <s v="NA"/>
    <s v="EAST"/>
    <n v="27"/>
    <n v="248929.47000000003"/>
    <x v="2"/>
    <n v="0"/>
  </r>
  <r>
    <n v="211"/>
    <s v="Yabox"/>
    <x v="4"/>
    <d v="2024-06-21T00:00:00"/>
    <x v="2"/>
    <n v="2413.71"/>
    <s v="At-Risk"/>
    <d v="2026-07-04T00:00:00"/>
    <n v="1"/>
    <x v="4"/>
    <s v="NA"/>
    <s v="EAST"/>
    <n v="27"/>
    <n v="65170.17"/>
    <x v="0"/>
    <n v="0"/>
  </r>
  <r>
    <n v="212"/>
    <s v="Linkbridge"/>
    <x v="0"/>
    <d v="2024-05-05T00:00:00"/>
    <x v="2"/>
    <n v="8774.94"/>
    <s v="Pending Renewal"/>
    <d v="2026-06-05T00:00:00"/>
    <n v="16"/>
    <x v="2"/>
    <s v="EU"/>
    <s v="CENTRAL"/>
    <n v="28"/>
    <n v="245698.32"/>
    <x v="2"/>
    <n v="0"/>
  </r>
  <r>
    <n v="213"/>
    <s v="Fiveclub"/>
    <x v="3"/>
    <d v="2024-02-27T00:00:00"/>
    <x v="1"/>
    <n v="7935.24"/>
    <s v="At-Risk"/>
    <d v="2026-03-13T00:00:00"/>
    <n v="12"/>
    <x v="1"/>
    <s v="MEA"/>
    <s v="EGY"/>
    <n v="31"/>
    <n v="245992.44"/>
    <x v="1"/>
    <n v="95222.88"/>
  </r>
  <r>
    <n v="214"/>
    <s v="Eadel"/>
    <x v="1"/>
    <d v="2024-05-25T00:00:00"/>
    <x v="2"/>
    <n v="14099.18"/>
    <s v="Active"/>
    <d v="2026-05-27T00:00:00"/>
    <n v="3"/>
    <x v="4"/>
    <s v="NA"/>
    <s v="EAST"/>
    <n v="28"/>
    <n v="394777.04000000004"/>
    <x v="0"/>
    <n v="0"/>
  </r>
  <r>
    <n v="215"/>
    <s v="Yodo"/>
    <x v="1"/>
    <d v="2024-10-01T00:00:00"/>
    <x v="0"/>
    <n v="9234.69"/>
    <s v="Churned"/>
    <d v="2026-07-25T00:00:00"/>
    <n v="8"/>
    <x v="4"/>
    <s v="NA"/>
    <s v="EAST"/>
    <n v="21"/>
    <n v="193928.49000000002"/>
    <x v="2"/>
    <n v="0"/>
  </r>
  <r>
    <n v="216"/>
    <s v="Vinder"/>
    <x v="1"/>
    <d v="2024-05-04T00:00:00"/>
    <x v="2"/>
    <n v="14327.15"/>
    <s v="At-Risk"/>
    <d v="2026-02-20T00:00:00"/>
    <n v="11"/>
    <x v="4"/>
    <s v="NA"/>
    <s v="EAST"/>
    <n v="28"/>
    <n v="401160.2"/>
    <x v="1"/>
    <n v="171925.8"/>
  </r>
  <r>
    <n v="217"/>
    <s v="Meezzy"/>
    <x v="0"/>
    <d v="2024-12-30T00:00:00"/>
    <x v="2"/>
    <n v="12438.91"/>
    <s v="At-Risk"/>
    <d v="2025-09-11T00:00:00"/>
    <n v="16"/>
    <x v="0"/>
    <s v="APAC"/>
    <s v="SGP"/>
    <n v="21"/>
    <n v="261217.11"/>
    <x v="1"/>
    <n v="149266.91999999998"/>
  </r>
  <r>
    <n v="218"/>
    <s v="Twitterworks"/>
    <x v="1"/>
    <d v="2024-01-22T00:00:00"/>
    <x v="2"/>
    <n v="6336.09"/>
    <s v="Pending Renewal"/>
    <m/>
    <n v="4"/>
    <x v="0"/>
    <s v="APAC"/>
    <s v="SGP"/>
    <n v="32"/>
    <n v="202754.88"/>
    <x v="2"/>
    <n v="0"/>
  </r>
  <r>
    <n v="219"/>
    <s v="Skippad"/>
    <x v="0"/>
    <d v="2024-07-26T00:00:00"/>
    <x v="1"/>
    <n v="9997.07"/>
    <s v="At-Risk"/>
    <d v="2025-08-22T00:00:00"/>
    <n v="17"/>
    <x v="3"/>
    <s v="NA"/>
    <s v="WEST"/>
    <n v="26"/>
    <n v="259923.82"/>
    <x v="1"/>
    <n v="119964.84"/>
  </r>
  <r>
    <n v="220"/>
    <s v="Trudoo"/>
    <x v="0"/>
    <d v="2024-09-09T00:00:00"/>
    <x v="2"/>
    <n v="1693.75"/>
    <s v="Churned"/>
    <d v="2025-10-22T00:00:00"/>
    <n v="4"/>
    <x v="1"/>
    <s v="MEA"/>
    <s v="EGY"/>
    <n v="13"/>
    <n v="22018.75"/>
    <x v="0"/>
    <n v="0"/>
  </r>
  <r>
    <n v="221"/>
    <s v="Quamba"/>
    <x v="1"/>
    <d v="2024-06-25T00:00:00"/>
    <x v="1"/>
    <n v="2129.4699999999998"/>
    <s v="Pending Renewal"/>
    <d v="2026-05-25T00:00:00"/>
    <n v="0"/>
    <x v="0"/>
    <s v="APAC"/>
    <s v="SGP"/>
    <n v="27"/>
    <n v="57495.689999999995"/>
    <x v="2"/>
    <n v="0"/>
  </r>
  <r>
    <n v="222"/>
    <s v="Jaxworks"/>
    <x v="0"/>
    <d v="2025-06-05T00:00:00"/>
    <x v="1"/>
    <n v="8178.6"/>
    <s v="At-Risk"/>
    <d v="2026-04-22T00:00:00"/>
    <n v="3"/>
    <x v="1"/>
    <s v="MEA"/>
    <s v="EGY"/>
    <n v="15"/>
    <n v="122679"/>
    <x v="0"/>
    <n v="0"/>
  </r>
  <r>
    <n v="223"/>
    <s v="Lajo"/>
    <x v="1"/>
    <d v="2024-01-06T00:00:00"/>
    <x v="2"/>
    <n v="10382.31"/>
    <s v="Active"/>
    <d v="2026-01-18T00:00:00"/>
    <n v="2"/>
    <x v="0"/>
    <s v="APAC"/>
    <s v="SGP"/>
    <n v="32"/>
    <n v="332233.92"/>
    <x v="0"/>
    <n v="0"/>
  </r>
  <r>
    <n v="224"/>
    <s v="Trilith"/>
    <x v="2"/>
    <d v="2024-10-22T00:00:00"/>
    <x v="0"/>
    <n v="1818.26"/>
    <s v="Churned"/>
    <d v="2026-02-02T00:00:00"/>
    <n v="14"/>
    <x v="1"/>
    <s v="MEA"/>
    <s v="EGY"/>
    <n v="16"/>
    <n v="29092.16"/>
    <x v="0"/>
    <n v="0"/>
  </r>
  <r>
    <n v="225"/>
    <s v="Trilith"/>
    <x v="3"/>
    <d v="2025-06-09T00:00:00"/>
    <x v="1"/>
    <n v="2413.6"/>
    <s v="Pending Renewal"/>
    <d v="2026-05-31T00:00:00"/>
    <n v="11"/>
    <x v="1"/>
    <s v="MEA"/>
    <s v="EGY"/>
    <n v="15"/>
    <n v="36204"/>
    <x v="2"/>
    <n v="0"/>
  </r>
  <r>
    <n v="226"/>
    <s v="Youspan"/>
    <x v="3"/>
    <d v="2025-03-09T00:00:00"/>
    <x v="0"/>
    <n v="13322.37"/>
    <s v="At-Risk"/>
    <d v="2026-02-25T00:00:00"/>
    <n v="15"/>
    <x v="3"/>
    <s v="NA"/>
    <s v="WEST"/>
    <n v="18"/>
    <n v="239802.66"/>
    <x v="1"/>
    <n v="159868.44"/>
  </r>
  <r>
    <n v="227"/>
    <s v="Meembee"/>
    <x v="0"/>
    <d v="2025-05-12T00:00:00"/>
    <x v="2"/>
    <n v="1784.36"/>
    <s v="At-Risk"/>
    <m/>
    <n v="5"/>
    <x v="2"/>
    <s v="EU"/>
    <s v="CENTRAL"/>
    <n v="16"/>
    <n v="28549.759999999998"/>
    <x v="2"/>
    <n v="0"/>
  </r>
  <r>
    <n v="228"/>
    <s v="Voolia"/>
    <x v="0"/>
    <d v="2024-11-04T00:00:00"/>
    <x v="0"/>
    <n v="11824.92"/>
    <s v="Active"/>
    <d v="2025-07-31T00:00:00"/>
    <n v="5"/>
    <x v="3"/>
    <s v="NA"/>
    <s v="WEST"/>
    <n v="22"/>
    <n v="260148.24"/>
    <x v="2"/>
    <n v="0"/>
  </r>
  <r>
    <n v="229"/>
    <s v="Kwilith"/>
    <x v="4"/>
    <d v="2024-06-01T00:00:00"/>
    <x v="2"/>
    <n v="7378.24"/>
    <s v="Active"/>
    <d v="2026-07-05T00:00:00"/>
    <n v="16"/>
    <x v="3"/>
    <s v="NA"/>
    <s v="WEST"/>
    <n v="27"/>
    <n v="199212.47999999998"/>
    <x v="0"/>
    <n v="0"/>
  </r>
  <r>
    <n v="230"/>
    <s v="Kazio"/>
    <x v="0"/>
    <d v="2024-01-14T00:00:00"/>
    <x v="2"/>
    <n v="1758.92"/>
    <s v="Churned"/>
    <d v="2026-08-21T00:00:00"/>
    <n v="12"/>
    <x v="2"/>
    <s v="EU"/>
    <s v="CENTRAL"/>
    <n v="31"/>
    <n v="54526.520000000004"/>
    <x v="0"/>
    <n v="0"/>
  </r>
  <r>
    <n v="231"/>
    <s v="Vimbo"/>
    <x v="2"/>
    <d v="2024-03-08T00:00:00"/>
    <x v="1"/>
    <n v="5299.61"/>
    <s v="Active"/>
    <d v="2025-08-30T00:00:00"/>
    <n v="0"/>
    <x v="0"/>
    <s v="APAC"/>
    <s v="SGP"/>
    <n v="30"/>
    <n v="158988.29999999999"/>
    <x v="0"/>
    <n v="0"/>
  </r>
  <r>
    <n v="232"/>
    <s v="Devcast"/>
    <x v="2"/>
    <d v="2024-04-24T00:00:00"/>
    <x v="0"/>
    <n v="9472.1299999999992"/>
    <s v="Active"/>
    <d v="2025-08-14T00:00:00"/>
    <n v="6"/>
    <x v="3"/>
    <s v="NA"/>
    <s v="WEST"/>
    <n v="29"/>
    <n v="274691.76999999996"/>
    <x v="2"/>
    <n v="0"/>
  </r>
  <r>
    <n v="233"/>
    <s v="Realcube"/>
    <x v="2"/>
    <d v="2024-12-27T00:00:00"/>
    <x v="2"/>
    <n v="2433.06"/>
    <s v="Pending Renewal"/>
    <d v="2025-09-15T00:00:00"/>
    <n v="12"/>
    <x v="0"/>
    <s v="APAC"/>
    <s v="SGP"/>
    <n v="21"/>
    <n v="51094.26"/>
    <x v="2"/>
    <n v="0"/>
  </r>
  <r>
    <n v="234"/>
    <s v="Voolith"/>
    <x v="3"/>
    <d v="2025-05-30T00:00:00"/>
    <x v="0"/>
    <n v="11837.5"/>
    <s v="Pending Renewal"/>
    <d v="2025-11-03T00:00:00"/>
    <n v="3"/>
    <x v="0"/>
    <s v="APAC"/>
    <s v="SGP"/>
    <n v="16"/>
    <n v="189400"/>
    <x v="2"/>
    <n v="0"/>
  </r>
  <r>
    <n v="235"/>
    <s v="Yata"/>
    <x v="3"/>
    <d v="2024-06-08T00:00:00"/>
    <x v="2"/>
    <n v="6924.84"/>
    <s v="Pending Renewal"/>
    <d v="2025-07-24T00:00:00"/>
    <n v="17"/>
    <x v="1"/>
    <s v="MEA"/>
    <s v="EGY"/>
    <n v="27"/>
    <n v="186970.68"/>
    <x v="2"/>
    <n v="0"/>
  </r>
  <r>
    <n v="236"/>
    <s v="Eamia"/>
    <x v="1"/>
    <d v="2024-01-03T00:00:00"/>
    <x v="2"/>
    <n v="12914.2"/>
    <s v="Churned"/>
    <d v="2026-07-28T00:00:00"/>
    <n v="13"/>
    <x v="1"/>
    <s v="MEA"/>
    <s v="EGY"/>
    <n v="30"/>
    <n v="387426"/>
    <x v="0"/>
    <n v="0"/>
  </r>
  <r>
    <n v="237"/>
    <s v="Jaxbean"/>
    <x v="4"/>
    <d v="2024-04-12T00:00:00"/>
    <x v="2"/>
    <n v="2456.7600000000002"/>
    <s v="Churned"/>
    <m/>
    <n v="1"/>
    <x v="2"/>
    <s v="EU"/>
    <s v="CENTRAL"/>
    <n v="29"/>
    <n v="71246.040000000008"/>
    <x v="0"/>
    <n v="0"/>
  </r>
  <r>
    <n v="238"/>
    <s v="Voonix"/>
    <x v="0"/>
    <d v="2024-05-25T00:00:00"/>
    <x v="2"/>
    <n v="5724.77"/>
    <s v="Pending Renewal"/>
    <d v="2026-03-24T00:00:00"/>
    <n v="18"/>
    <x v="4"/>
    <s v="NA"/>
    <s v="EAST"/>
    <n v="28"/>
    <n v="160293.56"/>
    <x v="2"/>
    <n v="0"/>
  </r>
  <r>
    <n v="239"/>
    <s v="Realmix"/>
    <x v="2"/>
    <d v="2024-12-05T00:00:00"/>
    <x v="1"/>
    <n v="5707.34"/>
    <s v="Pending Renewal"/>
    <d v="2026-04-20T00:00:00"/>
    <n v="5"/>
    <x v="2"/>
    <s v="EU"/>
    <s v="CENTRAL"/>
    <n v="21"/>
    <n v="119854.14"/>
    <x v="2"/>
    <n v="0"/>
  </r>
  <r>
    <n v="240"/>
    <s v="Riffpath"/>
    <x v="3"/>
    <d v="2025-01-30T00:00:00"/>
    <x v="2"/>
    <n v="1870.51"/>
    <s v="Churned"/>
    <d v="2026-07-02T00:00:00"/>
    <n v="17"/>
    <x v="4"/>
    <s v="NA"/>
    <s v="EAST"/>
    <n v="18"/>
    <n v="33669.18"/>
    <x v="0"/>
    <n v="0"/>
  </r>
  <r>
    <n v="241"/>
    <s v="Leenti"/>
    <x v="1"/>
    <d v="2025-06-07T00:00:00"/>
    <x v="1"/>
    <n v="11765.53"/>
    <s v="Churned"/>
    <d v="2026-07-14T00:00:00"/>
    <n v="17"/>
    <x v="1"/>
    <s v="MEA"/>
    <s v="EGY"/>
    <n v="13"/>
    <n v="152951.89000000001"/>
    <x v="0"/>
    <n v="0"/>
  </r>
  <r>
    <n v="242"/>
    <s v="Dabfeed"/>
    <x v="1"/>
    <d v="2024-04-03T00:00:00"/>
    <x v="1"/>
    <n v="14790.99"/>
    <s v="At-Risk"/>
    <d v="2026-01-28T00:00:00"/>
    <n v="2"/>
    <x v="1"/>
    <s v="MEA"/>
    <s v="EGY"/>
    <n v="29"/>
    <n v="428938.71"/>
    <x v="0"/>
    <n v="0"/>
  </r>
  <r>
    <n v="243"/>
    <s v="Jetwire"/>
    <x v="0"/>
    <d v="2025-04-26T00:00:00"/>
    <x v="2"/>
    <n v="10917.62"/>
    <s v="Pending Renewal"/>
    <d v="2025-09-12T00:00:00"/>
    <n v="6"/>
    <x v="0"/>
    <s v="APAC"/>
    <s v="SGP"/>
    <n v="17"/>
    <n v="185599.54"/>
    <x v="2"/>
    <n v="0"/>
  </r>
  <r>
    <n v="244"/>
    <s v="Yamia"/>
    <x v="1"/>
    <d v="2025-03-18T00:00:00"/>
    <x v="2"/>
    <n v="12039.27"/>
    <s v="At-Risk"/>
    <m/>
    <n v="7"/>
    <x v="1"/>
    <s v="MEA"/>
    <s v="EGY"/>
    <n v="18"/>
    <n v="216706.86000000002"/>
    <x v="2"/>
    <n v="0"/>
  </r>
  <r>
    <n v="245"/>
    <s v="Dabjam"/>
    <x v="4"/>
    <d v="2024-01-01T00:00:00"/>
    <x v="2"/>
    <n v="14652.92"/>
    <s v="Churned"/>
    <d v="2026-07-09T00:00:00"/>
    <n v="1"/>
    <x v="4"/>
    <s v="NA"/>
    <s v="EAST"/>
    <n v="30"/>
    <n v="439587.6"/>
    <x v="0"/>
    <n v="0"/>
  </r>
  <r>
    <n v="246"/>
    <s v="Meevee"/>
    <x v="1"/>
    <d v="2024-10-28T00:00:00"/>
    <x v="1"/>
    <n v="8855.83"/>
    <s v="Churned"/>
    <d v="2025-12-25T00:00:00"/>
    <n v="14"/>
    <x v="3"/>
    <s v="NA"/>
    <s v="WEST"/>
    <n v="14"/>
    <n v="123981.62"/>
    <x v="0"/>
    <n v="0"/>
  </r>
  <r>
    <n v="247"/>
    <s v="Twimbo"/>
    <x v="0"/>
    <d v="2024-04-03T00:00:00"/>
    <x v="0"/>
    <n v="9318.19"/>
    <s v="Pending Renewal"/>
    <d v="2025-09-04T00:00:00"/>
    <n v="1"/>
    <x v="1"/>
    <s v="MEA"/>
    <s v="EGY"/>
    <n v="29"/>
    <n v="270227.51"/>
    <x v="2"/>
    <n v="0"/>
  </r>
  <r>
    <n v="248"/>
    <s v="Flashpoint"/>
    <x v="0"/>
    <d v="2024-05-31T00:00:00"/>
    <x v="2"/>
    <n v="7992.14"/>
    <s v="Pending Renewal"/>
    <d v="2025-12-04T00:00:00"/>
    <n v="12"/>
    <x v="0"/>
    <s v="APAC"/>
    <s v="SGP"/>
    <n v="28"/>
    <n v="223779.92"/>
    <x v="2"/>
    <n v="0"/>
  </r>
  <r>
    <n v="249"/>
    <s v="Reallinks"/>
    <x v="2"/>
    <d v="2024-07-30T00:00:00"/>
    <x v="2"/>
    <n v="2700.11"/>
    <s v="At-Risk"/>
    <d v="2025-09-11T00:00:00"/>
    <n v="8"/>
    <x v="0"/>
    <s v="APAC"/>
    <s v="SGP"/>
    <n v="26"/>
    <n v="70202.86"/>
    <x v="2"/>
    <n v="0"/>
  </r>
  <r>
    <n v="250"/>
    <s v="Yata"/>
    <x v="2"/>
    <d v="2025-05-19T00:00:00"/>
    <x v="2"/>
    <n v="7619.93"/>
    <s v="Churned"/>
    <d v="2026-08-13T00:00:00"/>
    <n v="2"/>
    <x v="3"/>
    <s v="NA"/>
    <s v="WEST"/>
    <n v="15"/>
    <n v="114298.95000000001"/>
    <x v="0"/>
    <n v="0"/>
  </r>
  <r>
    <n v="251"/>
    <s v="Eare"/>
    <x v="3"/>
    <d v="2024-11-24T00:00:00"/>
    <x v="1"/>
    <n v="11875.36"/>
    <s v="Churned"/>
    <d v="2026-04-27T00:00:00"/>
    <n v="4"/>
    <x v="0"/>
    <s v="APAC"/>
    <s v="SGP"/>
    <n v="17"/>
    <n v="201881.12"/>
    <x v="0"/>
    <n v="0"/>
  </r>
  <r>
    <n v="252"/>
    <s v="Topiclounge"/>
    <x v="1"/>
    <d v="2025-03-28T00:00:00"/>
    <x v="2"/>
    <n v="14158.71"/>
    <s v="Churned"/>
    <d v="2025-07-17T00:00:00"/>
    <n v="18"/>
    <x v="4"/>
    <s v="NA"/>
    <s v="EAST"/>
    <n v="4"/>
    <n v="56634.84"/>
    <x v="0"/>
    <n v="0"/>
  </r>
  <r>
    <n v="253"/>
    <s v="Thoughtmix"/>
    <x v="4"/>
    <d v="2024-01-19T00:00:00"/>
    <x v="1"/>
    <n v="12782.44"/>
    <s v="Churned"/>
    <d v="2026-01-22T00:00:00"/>
    <n v="7"/>
    <x v="1"/>
    <s v="MEA"/>
    <s v="EGY"/>
    <n v="24"/>
    <n v="306778.56"/>
    <x v="2"/>
    <n v="0"/>
  </r>
  <r>
    <n v="254"/>
    <s v="Oyoyo"/>
    <x v="1"/>
    <d v="2024-10-11T00:00:00"/>
    <x v="1"/>
    <n v="12173.99"/>
    <s v="Pending Renewal"/>
    <d v="2026-01-20T00:00:00"/>
    <n v="17"/>
    <x v="0"/>
    <s v="APAC"/>
    <s v="SGP"/>
    <n v="23"/>
    <n v="280001.77"/>
    <x v="2"/>
    <n v="0"/>
  </r>
  <r>
    <n v="255"/>
    <s v="Yamia"/>
    <x v="0"/>
    <d v="2025-02-21T00:00:00"/>
    <x v="1"/>
    <n v="10041.57"/>
    <s v="Pending Renewal"/>
    <d v="2026-03-16T00:00:00"/>
    <n v="17"/>
    <x v="0"/>
    <s v="APAC"/>
    <s v="SGP"/>
    <n v="19"/>
    <n v="190789.83"/>
    <x v="2"/>
    <n v="0"/>
  </r>
  <r>
    <n v="256"/>
    <s v="Fatz"/>
    <x v="0"/>
    <d v="2024-12-05T00:00:00"/>
    <x v="0"/>
    <n v="5332.12"/>
    <s v="Active"/>
    <m/>
    <n v="16"/>
    <x v="0"/>
    <s v="APAC"/>
    <s v="SGP"/>
    <n v="21"/>
    <n v="111974.52"/>
    <x v="0"/>
    <n v="0"/>
  </r>
  <r>
    <n v="257"/>
    <s v="Livetube"/>
    <x v="0"/>
    <d v="2025-06-09T00:00:00"/>
    <x v="1"/>
    <n v="9233.94"/>
    <s v="Active"/>
    <d v="2025-11-28T00:00:00"/>
    <n v="16"/>
    <x v="2"/>
    <s v="EU"/>
    <s v="CENTRAL"/>
    <n v="15"/>
    <n v="138509.1"/>
    <x v="0"/>
    <n v="0"/>
  </r>
  <r>
    <n v="258"/>
    <s v="Chatterbridge"/>
    <x v="0"/>
    <d v="2024-01-17T00:00:00"/>
    <x v="1"/>
    <n v="10398.709999999999"/>
    <s v="Churned"/>
    <d v="2026-08-09T00:00:00"/>
    <n v="6"/>
    <x v="1"/>
    <s v="MEA"/>
    <s v="EGY"/>
    <n v="31"/>
    <n v="322360.00999999995"/>
    <x v="2"/>
    <n v="0"/>
  </r>
  <r>
    <n v="259"/>
    <s v="Livefish"/>
    <x v="0"/>
    <d v="2024-12-26T00:00:00"/>
    <x v="0"/>
    <n v="2367.69"/>
    <s v="Churned"/>
    <d v="2026-01-28T00:00:00"/>
    <n v="17"/>
    <x v="3"/>
    <s v="NA"/>
    <s v="WEST"/>
    <n v="13"/>
    <n v="30779.97"/>
    <x v="0"/>
    <n v="0"/>
  </r>
  <r>
    <n v="260"/>
    <s v="Layo"/>
    <x v="0"/>
    <d v="2025-06-11T00:00:00"/>
    <x v="1"/>
    <n v="12826.61"/>
    <s v="Churned"/>
    <d v="2026-03-05T00:00:00"/>
    <n v="8"/>
    <x v="1"/>
    <s v="MEA"/>
    <s v="EGY"/>
    <n v="9"/>
    <n v="115439.49"/>
    <x v="2"/>
    <n v="0"/>
  </r>
  <r>
    <n v="261"/>
    <s v="Voonte"/>
    <x v="2"/>
    <d v="2024-10-22T00:00:00"/>
    <x v="2"/>
    <n v="2245.81"/>
    <s v="At-Risk"/>
    <d v="2025-08-07T00:00:00"/>
    <n v="11"/>
    <x v="2"/>
    <s v="EU"/>
    <s v="CENTRAL"/>
    <n v="23"/>
    <n v="51653.63"/>
    <x v="1"/>
    <n v="26949.72"/>
  </r>
  <r>
    <n v="262"/>
    <s v="Realfire"/>
    <x v="2"/>
    <d v="2024-06-02T00:00:00"/>
    <x v="2"/>
    <n v="2592.86"/>
    <s v="Active"/>
    <d v="2026-05-05T00:00:00"/>
    <n v="11"/>
    <x v="3"/>
    <s v="NA"/>
    <s v="WEST"/>
    <n v="27"/>
    <n v="70007.22"/>
    <x v="0"/>
    <n v="0"/>
  </r>
  <r>
    <n v="263"/>
    <s v="Photobean"/>
    <x v="1"/>
    <d v="2024-02-15T00:00:00"/>
    <x v="0"/>
    <n v="11752.32"/>
    <s v="At-Risk"/>
    <d v="2026-01-27T00:00:00"/>
    <n v="2"/>
    <x v="2"/>
    <s v="EU"/>
    <s v="CENTRAL"/>
    <n v="31"/>
    <n v="364321.92"/>
    <x v="0"/>
    <n v="0"/>
  </r>
  <r>
    <n v="264"/>
    <s v="Photofeed"/>
    <x v="4"/>
    <d v="2024-03-31T00:00:00"/>
    <x v="0"/>
    <n v="620.05999999999995"/>
    <s v="Active"/>
    <d v="2025-11-23T00:00:00"/>
    <n v="12"/>
    <x v="1"/>
    <s v="MEA"/>
    <s v="EGY"/>
    <n v="30"/>
    <n v="18601.8"/>
    <x v="0"/>
    <n v="0"/>
  </r>
  <r>
    <n v="265"/>
    <s v="Riffpath"/>
    <x v="0"/>
    <d v="2024-06-02T00:00:00"/>
    <x v="2"/>
    <n v="3273.67"/>
    <s v="Churned"/>
    <d v="2026-03-12T00:00:00"/>
    <n v="2"/>
    <x v="1"/>
    <s v="MEA"/>
    <s v="EGY"/>
    <n v="21"/>
    <n v="68747.070000000007"/>
    <x v="0"/>
    <n v="0"/>
  </r>
  <r>
    <n v="266"/>
    <s v="Gabvine"/>
    <x v="3"/>
    <d v="2025-03-06T00:00:00"/>
    <x v="0"/>
    <n v="2120.17"/>
    <s v="Active"/>
    <d v="2025-12-06T00:00:00"/>
    <n v="9"/>
    <x v="4"/>
    <s v="NA"/>
    <s v="EAST"/>
    <n v="18"/>
    <n v="38163.06"/>
    <x v="2"/>
    <n v="0"/>
  </r>
  <r>
    <n v="267"/>
    <s v="Feedmix"/>
    <x v="1"/>
    <d v="2024-06-07T00:00:00"/>
    <x v="0"/>
    <n v="10115.290000000001"/>
    <s v="Active"/>
    <m/>
    <n v="15"/>
    <x v="0"/>
    <s v="APAC"/>
    <s v="SGP"/>
    <n v="27"/>
    <n v="273112.83"/>
    <x v="0"/>
    <n v="0"/>
  </r>
  <r>
    <n v="268"/>
    <s v="Yakitri"/>
    <x v="2"/>
    <d v="2024-05-28T00:00:00"/>
    <x v="2"/>
    <n v="4671.49"/>
    <s v="Pending Renewal"/>
    <m/>
    <n v="11"/>
    <x v="2"/>
    <s v="EU"/>
    <s v="CENTRAL"/>
    <n v="28"/>
    <n v="130801.72"/>
    <x v="2"/>
    <n v="0"/>
  </r>
  <r>
    <n v="269"/>
    <s v="Jabberstorm"/>
    <x v="1"/>
    <d v="2024-01-31T00:00:00"/>
    <x v="0"/>
    <n v="3152.91"/>
    <s v="Active"/>
    <d v="2026-07-10T00:00:00"/>
    <n v="1"/>
    <x v="3"/>
    <s v="NA"/>
    <s v="WEST"/>
    <n v="32"/>
    <n v="100893.12"/>
    <x v="0"/>
    <n v="0"/>
  </r>
  <r>
    <n v="270"/>
    <s v="Vinte"/>
    <x v="0"/>
    <d v="2024-04-11T00:00:00"/>
    <x v="2"/>
    <n v="4270.7"/>
    <s v="Active"/>
    <d v="2025-12-14T00:00:00"/>
    <n v="18"/>
    <x v="0"/>
    <s v="APAC"/>
    <s v="SGP"/>
    <n v="29"/>
    <n v="123850.29999999999"/>
    <x v="0"/>
    <n v="0"/>
  </r>
  <r>
    <n v="271"/>
    <s v="Twinte"/>
    <x v="4"/>
    <d v="2024-03-02T00:00:00"/>
    <x v="0"/>
    <n v="13686.23"/>
    <s v="Active"/>
    <d v="2025-10-13T00:00:00"/>
    <n v="8"/>
    <x v="3"/>
    <s v="NA"/>
    <s v="WEST"/>
    <n v="30"/>
    <n v="410586.89999999997"/>
    <x v="2"/>
    <n v="0"/>
  </r>
  <r>
    <n v="272"/>
    <s v="Lajo"/>
    <x v="3"/>
    <d v="2024-08-04T00:00:00"/>
    <x v="2"/>
    <n v="10830.86"/>
    <s v="Pending Renewal"/>
    <d v="2025-11-21T00:00:00"/>
    <n v="5"/>
    <x v="4"/>
    <s v="NA"/>
    <s v="EAST"/>
    <n v="25"/>
    <n v="270771.5"/>
    <x v="2"/>
    <n v="0"/>
  </r>
  <r>
    <n v="273"/>
    <s v="Yata"/>
    <x v="4"/>
    <d v="2025-02-11T00:00:00"/>
    <x v="1"/>
    <n v="614.87"/>
    <s v="Churned"/>
    <d v="2026-04-09T00:00:00"/>
    <n v="3"/>
    <x v="4"/>
    <s v="NA"/>
    <s v="EAST"/>
    <n v="14"/>
    <n v="8608.18"/>
    <x v="0"/>
    <n v="0"/>
  </r>
  <r>
    <n v="274"/>
    <s v="Oodoo"/>
    <x v="4"/>
    <d v="2024-08-10T00:00:00"/>
    <x v="0"/>
    <n v="11712.76"/>
    <s v="Pending Renewal"/>
    <d v="2025-10-06T00:00:00"/>
    <n v="18"/>
    <x v="4"/>
    <s v="NA"/>
    <s v="EAST"/>
    <n v="25"/>
    <n v="292819"/>
    <x v="2"/>
    <n v="0"/>
  </r>
  <r>
    <n v="275"/>
    <s v="Skidoo"/>
    <x v="2"/>
    <d v="2025-05-08T00:00:00"/>
    <x v="0"/>
    <n v="8140.82"/>
    <s v="Churned"/>
    <d v="2025-07-12T00:00:00"/>
    <n v="5"/>
    <x v="0"/>
    <s v="APAC"/>
    <s v="SGP"/>
    <n v="2"/>
    <n v="16281.64"/>
    <x v="2"/>
    <n v="0"/>
  </r>
  <r>
    <n v="276"/>
    <s v="JumpXS"/>
    <x v="4"/>
    <d v="2024-05-26T00:00:00"/>
    <x v="2"/>
    <n v="8965.27"/>
    <s v="At-Risk"/>
    <d v="2025-09-13T00:00:00"/>
    <n v="3"/>
    <x v="2"/>
    <s v="EU"/>
    <s v="CENTRAL"/>
    <n v="28"/>
    <n v="251027.56"/>
    <x v="0"/>
    <n v="0"/>
  </r>
  <r>
    <n v="277"/>
    <s v="Babbleset"/>
    <x v="3"/>
    <d v="2025-02-25T00:00:00"/>
    <x v="0"/>
    <n v="11160.08"/>
    <s v="Active"/>
    <d v="2025-11-13T00:00:00"/>
    <n v="7"/>
    <x v="2"/>
    <s v="EU"/>
    <s v="CENTRAL"/>
    <n v="19"/>
    <n v="212041.52"/>
    <x v="2"/>
    <n v="0"/>
  </r>
  <r>
    <n v="278"/>
    <s v="Dynabox"/>
    <x v="4"/>
    <d v="2024-08-16T00:00:00"/>
    <x v="1"/>
    <n v="6829.43"/>
    <s v="Pending Renewal"/>
    <d v="2025-12-03T00:00:00"/>
    <n v="9"/>
    <x v="0"/>
    <s v="APAC"/>
    <s v="SGP"/>
    <n v="25"/>
    <n v="170735.75"/>
    <x v="2"/>
    <n v="0"/>
  </r>
  <r>
    <n v="279"/>
    <s v="Edgeify"/>
    <x v="1"/>
    <d v="2024-07-06T00:00:00"/>
    <x v="1"/>
    <n v="2568.7199999999998"/>
    <s v="At-Risk"/>
    <m/>
    <n v="5"/>
    <x v="0"/>
    <s v="APAC"/>
    <s v="SGP"/>
    <n v="26"/>
    <n v="66786.720000000001"/>
    <x v="2"/>
    <n v="0"/>
  </r>
  <r>
    <n v="280"/>
    <s v="Skibox"/>
    <x v="1"/>
    <d v="2024-10-05T00:00:00"/>
    <x v="0"/>
    <n v="5657.33"/>
    <s v="Pending Renewal"/>
    <d v="2026-03-11T00:00:00"/>
    <n v="3"/>
    <x v="2"/>
    <s v="EU"/>
    <s v="CENTRAL"/>
    <n v="23"/>
    <n v="130118.59"/>
    <x v="2"/>
    <n v="0"/>
  </r>
  <r>
    <n v="281"/>
    <s v="Trudeo"/>
    <x v="0"/>
    <d v="2024-06-22T00:00:00"/>
    <x v="2"/>
    <n v="4438.1000000000004"/>
    <s v="Churned"/>
    <d v="2026-07-04T00:00:00"/>
    <n v="9"/>
    <x v="4"/>
    <s v="NA"/>
    <s v="EAST"/>
    <n v="25"/>
    <n v="110952.50000000001"/>
    <x v="2"/>
    <n v="0"/>
  </r>
  <r>
    <n v="282"/>
    <s v="Mynte"/>
    <x v="1"/>
    <d v="2025-02-15T00:00:00"/>
    <x v="0"/>
    <n v="4605.1400000000003"/>
    <s v="At-Risk"/>
    <d v="2025-07-14T00:00:00"/>
    <n v="17"/>
    <x v="1"/>
    <s v="MEA"/>
    <s v="EGY"/>
    <n v="19"/>
    <n v="87497.66"/>
    <x v="1"/>
    <n v="55261.680000000008"/>
  </r>
  <r>
    <n v="283"/>
    <s v="Linkbridge"/>
    <x v="1"/>
    <d v="2024-06-10T00:00:00"/>
    <x v="1"/>
    <n v="970.64"/>
    <s v="At-Risk"/>
    <d v="2025-09-29T00:00:00"/>
    <n v="15"/>
    <x v="3"/>
    <s v="NA"/>
    <s v="WEST"/>
    <n v="27"/>
    <n v="26207.279999999999"/>
    <x v="1"/>
    <n v="11647.68"/>
  </r>
  <r>
    <n v="284"/>
    <s v="Twitterworks"/>
    <x v="3"/>
    <d v="2025-03-28T00:00:00"/>
    <x v="0"/>
    <n v="13188.8"/>
    <s v="Active"/>
    <d v="2025-10-22T00:00:00"/>
    <n v="16"/>
    <x v="4"/>
    <s v="NA"/>
    <s v="EAST"/>
    <n v="18"/>
    <n v="237398.39999999999"/>
    <x v="0"/>
    <n v="0"/>
  </r>
  <r>
    <n v="285"/>
    <s v="Kayveo"/>
    <x v="4"/>
    <d v="2024-07-17T00:00:00"/>
    <x v="1"/>
    <n v="9219.0400000000009"/>
    <s v="Pending Renewal"/>
    <d v="2026-04-15T00:00:00"/>
    <n v="4"/>
    <x v="4"/>
    <s v="NA"/>
    <s v="EAST"/>
    <n v="26"/>
    <n v="239695.04000000004"/>
    <x v="2"/>
    <n v="0"/>
  </r>
  <r>
    <n v="286"/>
    <s v="Browseblab"/>
    <x v="3"/>
    <d v="2025-02-14T00:00:00"/>
    <x v="2"/>
    <n v="12582.98"/>
    <s v="Pending Renewal"/>
    <d v="2026-07-25T00:00:00"/>
    <n v="2"/>
    <x v="3"/>
    <s v="NA"/>
    <s v="WEST"/>
    <n v="19"/>
    <n v="239076.62"/>
    <x v="2"/>
    <n v="0"/>
  </r>
  <r>
    <n v="287"/>
    <s v="Tagcat"/>
    <x v="1"/>
    <d v="2024-09-02T00:00:00"/>
    <x v="1"/>
    <n v="10522.44"/>
    <s v="Pending Renewal"/>
    <d v="2025-12-19T00:00:00"/>
    <n v="18"/>
    <x v="4"/>
    <s v="NA"/>
    <s v="EAST"/>
    <n v="24"/>
    <n v="252538.56"/>
    <x v="2"/>
    <n v="0"/>
  </r>
  <r>
    <n v="288"/>
    <s v="Shufflebeat"/>
    <x v="3"/>
    <d v="2025-06-27T00:00:00"/>
    <x v="1"/>
    <n v="9246.01"/>
    <s v="Pending Renewal"/>
    <d v="2025-07-27T00:00:00"/>
    <n v="14"/>
    <x v="2"/>
    <s v="EU"/>
    <s v="CENTRAL"/>
    <n v="15"/>
    <n v="138690.15"/>
    <x v="2"/>
    <n v="0"/>
  </r>
  <r>
    <n v="289"/>
    <s v="Teklist"/>
    <x v="3"/>
    <d v="2024-08-01T00:00:00"/>
    <x v="0"/>
    <n v="11909.32"/>
    <s v="Active"/>
    <d v="2026-05-08T00:00:00"/>
    <n v="13"/>
    <x v="1"/>
    <s v="MEA"/>
    <s v="EGY"/>
    <n v="25"/>
    <n v="297733"/>
    <x v="0"/>
    <n v="0"/>
  </r>
  <r>
    <n v="290"/>
    <s v="Kayveo"/>
    <x v="3"/>
    <d v="2024-08-05T00:00:00"/>
    <x v="1"/>
    <n v="1137.8599999999999"/>
    <s v="Churned"/>
    <d v="2025-11-08T00:00:00"/>
    <n v="4"/>
    <x v="4"/>
    <s v="NA"/>
    <s v="EAST"/>
    <n v="15"/>
    <n v="17067.899999999998"/>
    <x v="0"/>
    <n v="0"/>
  </r>
  <r>
    <n v="291"/>
    <s v="Leexo"/>
    <x v="0"/>
    <d v="2025-06-14T00:00:00"/>
    <x v="1"/>
    <n v="4093.96"/>
    <s v="Churned"/>
    <d v="2026-01-02T00:00:00"/>
    <n v="14"/>
    <x v="4"/>
    <s v="NA"/>
    <s v="EAST"/>
    <n v="7"/>
    <n v="28657.72"/>
    <x v="0"/>
    <n v="0"/>
  </r>
  <r>
    <n v="292"/>
    <s v="Quaxo"/>
    <x v="1"/>
    <d v="2024-01-31T00:00:00"/>
    <x v="0"/>
    <n v="2704.09"/>
    <s v="Churned"/>
    <d v="2026-06-27T00:00:00"/>
    <n v="10"/>
    <x v="2"/>
    <s v="EU"/>
    <s v="CENTRAL"/>
    <n v="29"/>
    <n v="78418.61"/>
    <x v="2"/>
    <n v="0"/>
  </r>
  <r>
    <n v="293"/>
    <s v="Yadel"/>
    <x v="4"/>
    <d v="2025-05-29T00:00:00"/>
    <x v="0"/>
    <n v="5600.01"/>
    <s v="Churned"/>
    <d v="2025-09-15T00:00:00"/>
    <n v="2"/>
    <x v="4"/>
    <s v="NA"/>
    <s v="EAST"/>
    <n v="4"/>
    <n v="22400.04"/>
    <x v="0"/>
    <n v="0"/>
  </r>
  <r>
    <n v="294"/>
    <s v="Oozz"/>
    <x v="2"/>
    <d v="2024-10-12T00:00:00"/>
    <x v="2"/>
    <n v="5236.5600000000004"/>
    <s v="Active"/>
    <d v="2025-09-13T00:00:00"/>
    <n v="1"/>
    <x v="4"/>
    <s v="NA"/>
    <s v="EAST"/>
    <n v="23"/>
    <n v="120440.88"/>
    <x v="0"/>
    <n v="0"/>
  </r>
  <r>
    <n v="295"/>
    <s v="Kazio"/>
    <x v="3"/>
    <d v="2025-02-06T00:00:00"/>
    <x v="2"/>
    <n v="3568.42"/>
    <s v="Active"/>
    <d v="2025-10-29T00:00:00"/>
    <n v="4"/>
    <x v="2"/>
    <s v="EU"/>
    <s v="CENTRAL"/>
    <n v="19"/>
    <n v="67799.98"/>
    <x v="0"/>
    <n v="0"/>
  </r>
  <r>
    <n v="296"/>
    <s v="Fivebridge"/>
    <x v="4"/>
    <d v="2024-10-28T00:00:00"/>
    <x v="0"/>
    <n v="14836.48"/>
    <s v="At-Risk"/>
    <d v="2025-12-06T00:00:00"/>
    <n v="1"/>
    <x v="4"/>
    <s v="NA"/>
    <s v="EAST"/>
    <n v="23"/>
    <n v="341239.03999999998"/>
    <x v="0"/>
    <n v="0"/>
  </r>
  <r>
    <n v="297"/>
    <s v="Quamba"/>
    <x v="0"/>
    <d v="2024-02-09T00:00:00"/>
    <x v="0"/>
    <n v="5904.7"/>
    <s v="Active"/>
    <d v="2026-07-22T00:00:00"/>
    <n v="3"/>
    <x v="2"/>
    <s v="EU"/>
    <s v="CENTRAL"/>
    <n v="31"/>
    <n v="183045.69999999998"/>
    <x v="0"/>
    <n v="0"/>
  </r>
  <r>
    <n v="298"/>
    <s v="Shufflebeat"/>
    <x v="1"/>
    <d v="2024-12-07T00:00:00"/>
    <x v="0"/>
    <n v="2331.6999999999998"/>
    <s v="At-Risk"/>
    <d v="2026-03-21T00:00:00"/>
    <n v="2"/>
    <x v="3"/>
    <s v="NA"/>
    <s v="WEST"/>
    <n v="21"/>
    <n v="48965.7"/>
    <x v="0"/>
    <n v="0"/>
  </r>
  <r>
    <n v="299"/>
    <s v="Yakidoo"/>
    <x v="4"/>
    <d v="2024-06-16T00:00:00"/>
    <x v="0"/>
    <n v="6515.38"/>
    <s v="Churned"/>
    <m/>
    <n v="17"/>
    <x v="1"/>
    <s v="MEA"/>
    <s v="EGY"/>
    <n v="27"/>
    <n v="175915.26"/>
    <x v="0"/>
    <n v="0"/>
  </r>
  <r>
    <n v="300"/>
    <s v="Skyba"/>
    <x v="0"/>
    <d v="2025-03-13T00:00:00"/>
    <x v="2"/>
    <n v="12030.94"/>
    <s v="Pending Renewal"/>
    <m/>
    <n v="17"/>
    <x v="0"/>
    <s v="APAC"/>
    <s v="SGP"/>
    <n v="18"/>
    <n v="216556.92"/>
    <x v="2"/>
    <n v="0"/>
  </r>
  <r>
    <n v="301"/>
    <s v="InnoZ"/>
    <x v="2"/>
    <d v="2024-11-10T00:00:00"/>
    <x v="1"/>
    <n v="1811.75"/>
    <s v="Active"/>
    <m/>
    <n v="7"/>
    <x v="4"/>
    <s v="NA"/>
    <s v="EAST"/>
    <n v="22"/>
    <n v="39858.5"/>
    <x v="2"/>
    <n v="0"/>
  </r>
  <r>
    <n v="302"/>
    <s v="Cogidoo"/>
    <x v="1"/>
    <d v="2024-08-08T00:00:00"/>
    <x v="1"/>
    <n v="4512.88"/>
    <s v="Active"/>
    <d v="2026-04-13T00:00:00"/>
    <n v="0"/>
    <x v="4"/>
    <s v="NA"/>
    <s v="EAST"/>
    <n v="25"/>
    <n v="112822"/>
    <x v="0"/>
    <n v="0"/>
  </r>
  <r>
    <n v="303"/>
    <s v="Mydo"/>
    <x v="3"/>
    <d v="2024-07-08T00:00:00"/>
    <x v="1"/>
    <n v="3659.31"/>
    <s v="Churned"/>
    <m/>
    <n v="16"/>
    <x v="1"/>
    <s v="MEA"/>
    <s v="EGY"/>
    <n v="26"/>
    <n v="95142.06"/>
    <x v="0"/>
    <n v="0"/>
  </r>
  <r>
    <n v="304"/>
    <s v="Lazz"/>
    <x v="2"/>
    <d v="2024-02-06T00:00:00"/>
    <x v="1"/>
    <n v="12919.69"/>
    <s v="Pending Renewal"/>
    <m/>
    <n v="9"/>
    <x v="0"/>
    <s v="APAC"/>
    <s v="SGP"/>
    <n v="31"/>
    <n v="400510.39"/>
    <x v="2"/>
    <n v="0"/>
  </r>
  <r>
    <n v="305"/>
    <s v="Rhycero"/>
    <x v="2"/>
    <d v="2025-01-25T00:00:00"/>
    <x v="2"/>
    <n v="8571.1"/>
    <s v="Churned"/>
    <d v="2026-05-28T00:00:00"/>
    <n v="12"/>
    <x v="0"/>
    <s v="APAC"/>
    <s v="SGP"/>
    <n v="16"/>
    <n v="137137.60000000001"/>
    <x v="0"/>
    <n v="0"/>
  </r>
  <r>
    <n v="306"/>
    <s v="Rhycero"/>
    <x v="3"/>
    <d v="2025-04-12T00:00:00"/>
    <x v="2"/>
    <n v="12466.02"/>
    <s v="Active"/>
    <d v="2026-06-13T00:00:00"/>
    <n v="5"/>
    <x v="1"/>
    <s v="MEA"/>
    <s v="EGY"/>
    <n v="17"/>
    <n v="211922.34"/>
    <x v="2"/>
    <n v="0"/>
  </r>
  <r>
    <n v="307"/>
    <s v="Youspan"/>
    <x v="3"/>
    <d v="2024-12-23T00:00:00"/>
    <x v="1"/>
    <n v="8406.18"/>
    <s v="Active"/>
    <d v="2025-07-22T00:00:00"/>
    <n v="17"/>
    <x v="4"/>
    <s v="NA"/>
    <s v="EAST"/>
    <n v="21"/>
    <n v="176529.78"/>
    <x v="0"/>
    <n v="0"/>
  </r>
  <r>
    <n v="308"/>
    <s v="Kwilith"/>
    <x v="4"/>
    <d v="2024-12-24T00:00:00"/>
    <x v="2"/>
    <n v="1870.39"/>
    <s v="Pending Renewal"/>
    <d v="2026-04-28T00:00:00"/>
    <n v="1"/>
    <x v="4"/>
    <s v="NA"/>
    <s v="EAST"/>
    <n v="21"/>
    <n v="39278.19"/>
    <x v="2"/>
    <n v="0"/>
  </r>
  <r>
    <n v="309"/>
    <s v="Blogspan"/>
    <x v="3"/>
    <d v="2024-10-09T00:00:00"/>
    <x v="1"/>
    <n v="811.86"/>
    <s v="Pending Renewal"/>
    <d v="2025-09-02T00:00:00"/>
    <n v="5"/>
    <x v="2"/>
    <s v="EU"/>
    <s v="CENTRAL"/>
    <n v="23"/>
    <n v="18672.78"/>
    <x v="2"/>
    <n v="0"/>
  </r>
  <r>
    <n v="310"/>
    <s v="Oyonder"/>
    <x v="1"/>
    <d v="2024-11-09T00:00:00"/>
    <x v="1"/>
    <n v="10588.62"/>
    <s v="Pending Renewal"/>
    <d v="2026-04-04T00:00:00"/>
    <n v="11"/>
    <x v="1"/>
    <s v="MEA"/>
    <s v="EGY"/>
    <n v="22"/>
    <n v="232949.64"/>
    <x v="2"/>
    <n v="0"/>
  </r>
  <r>
    <n v="311"/>
    <s v="Vinte"/>
    <x v="1"/>
    <d v="2025-05-01T00:00:00"/>
    <x v="2"/>
    <n v="825.64"/>
    <s v="Pending Renewal"/>
    <d v="2026-02-14T00:00:00"/>
    <n v="2"/>
    <x v="1"/>
    <s v="MEA"/>
    <s v="EGY"/>
    <n v="16"/>
    <n v="13210.24"/>
    <x v="2"/>
    <n v="0"/>
  </r>
  <r>
    <n v="312"/>
    <s v="Quatz"/>
    <x v="2"/>
    <d v="2025-01-31T00:00:00"/>
    <x v="0"/>
    <n v="7851.66"/>
    <s v="Churned"/>
    <d v="2026-08-07T00:00:00"/>
    <n v="17"/>
    <x v="1"/>
    <s v="MEA"/>
    <s v="EGY"/>
    <n v="19"/>
    <n v="149181.54"/>
    <x v="0"/>
    <n v="0"/>
  </r>
  <r>
    <n v="313"/>
    <s v="Tagpad"/>
    <x v="0"/>
    <d v="2024-11-15T00:00:00"/>
    <x v="2"/>
    <n v="5542.99"/>
    <s v="Pending Renewal"/>
    <d v="2025-09-11T00:00:00"/>
    <n v="8"/>
    <x v="4"/>
    <s v="NA"/>
    <s v="EAST"/>
    <n v="22"/>
    <n v="121945.78"/>
    <x v="2"/>
    <n v="0"/>
  </r>
  <r>
    <n v="314"/>
    <s v="Devbug"/>
    <x v="3"/>
    <d v="2024-02-14T00:00:00"/>
    <x v="0"/>
    <n v="14587.98"/>
    <s v="Active"/>
    <d v="2025-10-21T00:00:00"/>
    <n v="18"/>
    <x v="3"/>
    <s v="NA"/>
    <s v="WEST"/>
    <n v="31"/>
    <n v="452227.38"/>
    <x v="0"/>
    <n v="0"/>
  </r>
  <r>
    <n v="315"/>
    <s v="Oyonder"/>
    <x v="1"/>
    <d v="2024-03-25T00:00:00"/>
    <x v="1"/>
    <n v="13017.27"/>
    <s v="Churned"/>
    <d v="2026-04-15T00:00:00"/>
    <n v="16"/>
    <x v="3"/>
    <s v="NA"/>
    <s v="WEST"/>
    <n v="25"/>
    <n v="325431.75"/>
    <x v="0"/>
    <n v="0"/>
  </r>
  <r>
    <n v="316"/>
    <s v="Yoveo"/>
    <x v="4"/>
    <d v="2024-04-27T00:00:00"/>
    <x v="2"/>
    <n v="2889.53"/>
    <s v="Pending Renewal"/>
    <d v="2026-05-25T00:00:00"/>
    <n v="6"/>
    <x v="4"/>
    <s v="NA"/>
    <s v="EAST"/>
    <n v="29"/>
    <n v="83796.37000000001"/>
    <x v="2"/>
    <n v="0"/>
  </r>
  <r>
    <n v="317"/>
    <s v="Oyonder"/>
    <x v="2"/>
    <d v="2024-04-18T00:00:00"/>
    <x v="2"/>
    <n v="10448.120000000001"/>
    <s v="At-Risk"/>
    <d v="2025-07-03T00:00:00"/>
    <n v="2"/>
    <x v="3"/>
    <s v="NA"/>
    <s v="WEST"/>
    <n v="29"/>
    <n v="302995.48000000004"/>
    <x v="0"/>
    <n v="0"/>
  </r>
  <r>
    <n v="318"/>
    <s v="Avavee"/>
    <x v="4"/>
    <d v="2024-09-08T00:00:00"/>
    <x v="1"/>
    <n v="5620.32"/>
    <s v="Pending Renewal"/>
    <d v="2026-01-27T00:00:00"/>
    <n v="4"/>
    <x v="1"/>
    <s v="MEA"/>
    <s v="EGY"/>
    <n v="24"/>
    <n v="134887.67999999999"/>
    <x v="2"/>
    <n v="0"/>
  </r>
  <r>
    <n v="319"/>
    <s v="Dabfeed"/>
    <x v="4"/>
    <d v="2025-03-08T00:00:00"/>
    <x v="2"/>
    <n v="9916.58"/>
    <s v="Active"/>
    <d v="2026-05-05T00:00:00"/>
    <n v="13"/>
    <x v="3"/>
    <s v="NA"/>
    <s v="WEST"/>
    <n v="18"/>
    <n v="178498.44"/>
    <x v="0"/>
    <n v="0"/>
  </r>
  <r>
    <n v="320"/>
    <s v="Ooba"/>
    <x v="1"/>
    <d v="2025-02-22T00:00:00"/>
    <x v="1"/>
    <n v="10119.049999999999"/>
    <s v="Pending Renewal"/>
    <d v="2025-07-01T00:00:00"/>
    <n v="11"/>
    <x v="1"/>
    <s v="MEA"/>
    <s v="EGY"/>
    <n v="19"/>
    <n v="192261.94999999998"/>
    <x v="2"/>
    <n v="0"/>
  </r>
  <r>
    <n v="321"/>
    <s v="Twitternation"/>
    <x v="1"/>
    <d v="2025-06-18T00:00:00"/>
    <x v="1"/>
    <n v="14478.21"/>
    <s v="At-Risk"/>
    <d v="2026-03-19T00:00:00"/>
    <n v="3"/>
    <x v="4"/>
    <s v="NA"/>
    <s v="EAST"/>
    <n v="15"/>
    <n v="217173.15"/>
    <x v="0"/>
    <n v="0"/>
  </r>
  <r>
    <n v="322"/>
    <s v="Wikido"/>
    <x v="1"/>
    <d v="2025-04-10T00:00:00"/>
    <x v="1"/>
    <n v="7530.07"/>
    <s v="At-Risk"/>
    <d v="2026-07-22T00:00:00"/>
    <n v="17"/>
    <x v="4"/>
    <s v="NA"/>
    <s v="EAST"/>
    <n v="17"/>
    <n v="128011.19"/>
    <x v="1"/>
    <n v="90360.84"/>
  </r>
  <r>
    <n v="323"/>
    <s v="Yodo"/>
    <x v="4"/>
    <d v="2024-07-26T00:00:00"/>
    <x v="0"/>
    <n v="7126.28"/>
    <s v="Churned"/>
    <m/>
    <n v="15"/>
    <x v="2"/>
    <s v="EU"/>
    <s v="CENTRAL"/>
    <n v="26"/>
    <n v="185283.28"/>
    <x v="0"/>
    <n v="0"/>
  </r>
  <r>
    <n v="324"/>
    <s v="Fatz"/>
    <x v="3"/>
    <d v="2024-01-30T00:00:00"/>
    <x v="2"/>
    <n v="3708.37"/>
    <s v="Churned"/>
    <d v="2025-10-08T00:00:00"/>
    <n v="4"/>
    <x v="3"/>
    <s v="NA"/>
    <s v="WEST"/>
    <n v="21"/>
    <n v="77875.77"/>
    <x v="0"/>
    <n v="0"/>
  </r>
  <r>
    <n v="325"/>
    <s v="Dablist"/>
    <x v="2"/>
    <d v="2024-04-20T00:00:00"/>
    <x v="0"/>
    <n v="6954.08"/>
    <s v="Pending Renewal"/>
    <d v="2025-10-21T00:00:00"/>
    <n v="9"/>
    <x v="1"/>
    <s v="MEA"/>
    <s v="EGY"/>
    <n v="29"/>
    <n v="201668.32"/>
    <x v="2"/>
    <n v="0"/>
  </r>
  <r>
    <n v="326"/>
    <s v="Jabbertype"/>
    <x v="3"/>
    <d v="2025-06-10T00:00:00"/>
    <x v="0"/>
    <n v="12313.63"/>
    <s v="Churned"/>
    <d v="2026-07-25T00:00:00"/>
    <n v="13"/>
    <x v="4"/>
    <s v="NA"/>
    <s v="EAST"/>
    <n v="13"/>
    <n v="160077.19"/>
    <x v="0"/>
    <n v="0"/>
  </r>
  <r>
    <n v="327"/>
    <s v="Divape"/>
    <x v="4"/>
    <d v="2024-03-15T00:00:00"/>
    <x v="1"/>
    <n v="11956.27"/>
    <s v="At-Risk"/>
    <d v="2026-06-08T00:00:00"/>
    <n v="12"/>
    <x v="4"/>
    <s v="NA"/>
    <s v="EAST"/>
    <n v="30"/>
    <n v="358688.10000000003"/>
    <x v="1"/>
    <n v="143475.24"/>
  </r>
  <r>
    <n v="328"/>
    <s v="Kwinu"/>
    <x v="2"/>
    <d v="2024-03-06T00:00:00"/>
    <x v="0"/>
    <n v="2964.93"/>
    <s v="At-Risk"/>
    <m/>
    <n v="3"/>
    <x v="2"/>
    <s v="EU"/>
    <s v="CENTRAL"/>
    <n v="30"/>
    <n v="88947.9"/>
    <x v="0"/>
    <n v="0"/>
  </r>
  <r>
    <n v="329"/>
    <s v="Mycat"/>
    <x v="4"/>
    <d v="2024-12-24T00:00:00"/>
    <x v="1"/>
    <n v="10980.72"/>
    <s v="Active"/>
    <d v="2025-10-24T00:00:00"/>
    <n v="3"/>
    <x v="1"/>
    <s v="MEA"/>
    <s v="EGY"/>
    <n v="21"/>
    <n v="230595.12"/>
    <x v="0"/>
    <n v="0"/>
  </r>
  <r>
    <n v="330"/>
    <s v="Shuffletag"/>
    <x v="2"/>
    <d v="2024-07-24T00:00:00"/>
    <x v="1"/>
    <n v="5010.5200000000004"/>
    <s v="At-Risk"/>
    <m/>
    <n v="5"/>
    <x v="3"/>
    <s v="NA"/>
    <s v="WEST"/>
    <n v="26"/>
    <n v="130273.52000000002"/>
    <x v="2"/>
    <n v="0"/>
  </r>
  <r>
    <n v="331"/>
    <s v="Dynabox"/>
    <x v="4"/>
    <d v="2024-09-24T00:00:00"/>
    <x v="0"/>
    <n v="11602.59"/>
    <s v="Active"/>
    <d v="2025-07-02T00:00:00"/>
    <n v="7"/>
    <x v="2"/>
    <s v="EU"/>
    <s v="CENTRAL"/>
    <n v="24"/>
    <n v="278462.16000000003"/>
    <x v="2"/>
    <n v="0"/>
  </r>
  <r>
    <n v="332"/>
    <s v="Topicshots"/>
    <x v="2"/>
    <d v="2024-11-21T00:00:00"/>
    <x v="2"/>
    <n v="8508.52"/>
    <s v="Active"/>
    <d v="2025-08-12T00:00:00"/>
    <n v="7"/>
    <x v="0"/>
    <s v="APAC"/>
    <s v="SGP"/>
    <n v="22"/>
    <n v="187187.44"/>
    <x v="2"/>
    <n v="0"/>
  </r>
  <r>
    <n v="333"/>
    <s v="Dablist"/>
    <x v="1"/>
    <d v="2024-05-14T00:00:00"/>
    <x v="0"/>
    <n v="7789.82"/>
    <s v="At-Risk"/>
    <d v="2026-06-08T00:00:00"/>
    <n v="14"/>
    <x v="3"/>
    <s v="NA"/>
    <s v="WEST"/>
    <n v="28"/>
    <n v="218114.96"/>
    <x v="1"/>
    <n v="93477.84"/>
  </r>
  <r>
    <n v="334"/>
    <s v="Tagpad"/>
    <x v="4"/>
    <d v="2024-09-20T00:00:00"/>
    <x v="2"/>
    <n v="11605.6"/>
    <s v="Active"/>
    <d v="2026-05-11T00:00:00"/>
    <n v="16"/>
    <x v="4"/>
    <s v="NA"/>
    <s v="EAST"/>
    <n v="24"/>
    <n v="278534.40000000002"/>
    <x v="0"/>
    <n v="0"/>
  </r>
  <r>
    <n v="335"/>
    <s v="Gigaclub"/>
    <x v="1"/>
    <d v="2024-10-16T00:00:00"/>
    <x v="1"/>
    <n v="3841.58"/>
    <s v="Active"/>
    <d v="2026-01-01T00:00:00"/>
    <n v="18"/>
    <x v="4"/>
    <s v="NA"/>
    <s v="EAST"/>
    <n v="23"/>
    <n v="88356.34"/>
    <x v="0"/>
    <n v="0"/>
  </r>
  <r>
    <n v="336"/>
    <s v="Realcube"/>
    <x v="4"/>
    <d v="2024-06-11T00:00:00"/>
    <x v="2"/>
    <n v="9888.15"/>
    <s v="Churned"/>
    <d v="2025-07-27T00:00:00"/>
    <n v="13"/>
    <x v="2"/>
    <s v="EU"/>
    <s v="CENTRAL"/>
    <n v="13"/>
    <n v="128545.95"/>
    <x v="0"/>
    <n v="0"/>
  </r>
  <r>
    <n v="337"/>
    <s v="Ainyx"/>
    <x v="3"/>
    <d v="2024-04-15T00:00:00"/>
    <x v="1"/>
    <n v="11219.65"/>
    <s v="Active"/>
    <d v="2026-01-16T00:00:00"/>
    <n v="15"/>
    <x v="3"/>
    <s v="NA"/>
    <s v="WEST"/>
    <n v="29"/>
    <n v="325369.84999999998"/>
    <x v="0"/>
    <n v="0"/>
  </r>
  <r>
    <n v="338"/>
    <s v="Divape"/>
    <x v="0"/>
    <d v="2024-06-01T00:00:00"/>
    <x v="0"/>
    <n v="9236.41"/>
    <s v="Churned"/>
    <d v="2025-12-11T00:00:00"/>
    <n v="1"/>
    <x v="3"/>
    <s v="NA"/>
    <s v="WEST"/>
    <n v="18"/>
    <n v="166255.38"/>
    <x v="0"/>
    <n v="0"/>
  </r>
  <r>
    <n v="339"/>
    <s v="Zooveo"/>
    <x v="4"/>
    <d v="2024-10-31T00:00:00"/>
    <x v="2"/>
    <n v="4553.53"/>
    <s v="Churned"/>
    <d v="2025-09-29T00:00:00"/>
    <n v="10"/>
    <x v="3"/>
    <s v="NA"/>
    <s v="WEST"/>
    <n v="11"/>
    <n v="50088.829999999994"/>
    <x v="2"/>
    <n v="0"/>
  </r>
  <r>
    <n v="340"/>
    <s v="Edgeclub"/>
    <x v="2"/>
    <d v="2025-06-19T00:00:00"/>
    <x v="2"/>
    <n v="2660.21"/>
    <s v="Churned"/>
    <d v="2026-01-24T00:00:00"/>
    <n v="5"/>
    <x v="1"/>
    <s v="MEA"/>
    <s v="EGY"/>
    <n v="7"/>
    <n v="18621.47"/>
    <x v="2"/>
    <n v="0"/>
  </r>
  <r>
    <n v="341"/>
    <s v="Kanoodle"/>
    <x v="4"/>
    <d v="2024-03-28T00:00:00"/>
    <x v="1"/>
    <n v="13748.35"/>
    <s v="Active"/>
    <m/>
    <n v="14"/>
    <x v="0"/>
    <s v="APAC"/>
    <s v="SGP"/>
    <n v="30"/>
    <n v="412450.5"/>
    <x v="0"/>
    <n v="0"/>
  </r>
  <r>
    <n v="342"/>
    <s v="Feednation"/>
    <x v="4"/>
    <d v="2024-03-08T00:00:00"/>
    <x v="2"/>
    <n v="10704.86"/>
    <s v="Pending Renewal"/>
    <d v="2025-08-08T00:00:00"/>
    <n v="3"/>
    <x v="2"/>
    <s v="EU"/>
    <s v="CENTRAL"/>
    <n v="30"/>
    <n v="321145.80000000005"/>
    <x v="2"/>
    <n v="0"/>
  </r>
  <r>
    <n v="343"/>
    <s v="Midel"/>
    <x v="3"/>
    <d v="2024-07-28T00:00:00"/>
    <x v="1"/>
    <n v="8002.93"/>
    <s v="Pending Renewal"/>
    <d v="2025-08-09T00:00:00"/>
    <n v="18"/>
    <x v="2"/>
    <s v="EU"/>
    <s v="CENTRAL"/>
    <n v="26"/>
    <n v="208076.18"/>
    <x v="2"/>
    <n v="0"/>
  </r>
  <r>
    <n v="344"/>
    <s v="Tagchat"/>
    <x v="1"/>
    <d v="2024-02-14T00:00:00"/>
    <x v="2"/>
    <n v="6476.52"/>
    <s v="Churned"/>
    <d v="2026-06-14T00:00:00"/>
    <n v="5"/>
    <x v="1"/>
    <s v="MEA"/>
    <s v="EGY"/>
    <n v="28"/>
    <n v="181342.56"/>
    <x v="2"/>
    <n v="0"/>
  </r>
  <r>
    <n v="345"/>
    <s v="Shufflebeat"/>
    <x v="3"/>
    <d v="2025-04-27T00:00:00"/>
    <x v="2"/>
    <n v="8860.0499999999993"/>
    <s v="Pending Renewal"/>
    <d v="2026-07-02T00:00:00"/>
    <n v="3"/>
    <x v="0"/>
    <s v="APAC"/>
    <s v="SGP"/>
    <n v="17"/>
    <n v="150620.84999999998"/>
    <x v="2"/>
    <n v="0"/>
  </r>
  <r>
    <n v="346"/>
    <s v="Ozu"/>
    <x v="2"/>
    <d v="2024-12-25T00:00:00"/>
    <x v="1"/>
    <n v="5760.85"/>
    <s v="Active"/>
    <d v="2026-08-12T00:00:00"/>
    <n v="5"/>
    <x v="1"/>
    <s v="MEA"/>
    <s v="EGY"/>
    <n v="21"/>
    <n v="120977.85"/>
    <x v="2"/>
    <n v="0"/>
  </r>
  <r>
    <n v="347"/>
    <s v="Blogtag"/>
    <x v="3"/>
    <d v="2024-07-26T00:00:00"/>
    <x v="1"/>
    <n v="3455.66"/>
    <s v="At-Risk"/>
    <d v="2026-07-19T00:00:00"/>
    <n v="15"/>
    <x v="4"/>
    <s v="NA"/>
    <s v="EAST"/>
    <n v="26"/>
    <n v="89847.16"/>
    <x v="1"/>
    <n v="41467.919999999998"/>
  </r>
  <r>
    <n v="348"/>
    <s v="Edgeclub"/>
    <x v="4"/>
    <d v="2024-07-22T00:00:00"/>
    <x v="2"/>
    <n v="7633.5"/>
    <s v="Active"/>
    <m/>
    <n v="3"/>
    <x v="2"/>
    <s v="EU"/>
    <s v="CENTRAL"/>
    <n v="26"/>
    <n v="198471"/>
    <x v="0"/>
    <n v="0"/>
  </r>
  <r>
    <n v="349"/>
    <s v="Meemm"/>
    <x v="0"/>
    <d v="2025-03-09T00:00:00"/>
    <x v="0"/>
    <n v="4687.66"/>
    <s v="Active"/>
    <d v="2025-12-13T00:00:00"/>
    <n v="15"/>
    <x v="3"/>
    <s v="NA"/>
    <s v="WEST"/>
    <n v="18"/>
    <n v="84377.88"/>
    <x v="0"/>
    <n v="0"/>
  </r>
  <r>
    <n v="350"/>
    <s v="Mydeo"/>
    <x v="2"/>
    <d v="2025-03-07T00:00:00"/>
    <x v="1"/>
    <n v="8373.3700000000008"/>
    <s v="Churned"/>
    <d v="2025-08-25T00:00:00"/>
    <n v="0"/>
    <x v="2"/>
    <s v="EU"/>
    <s v="CENTRAL"/>
    <n v="5"/>
    <n v="41866.850000000006"/>
    <x v="0"/>
    <n v="0"/>
  </r>
  <r>
    <n v="351"/>
    <s v="Jaxbean"/>
    <x v="0"/>
    <d v="2024-08-06T00:00:00"/>
    <x v="2"/>
    <n v="1419.95"/>
    <s v="At-Risk"/>
    <d v="2026-07-07T00:00:00"/>
    <n v="13"/>
    <x v="2"/>
    <s v="EU"/>
    <s v="CENTRAL"/>
    <n v="25"/>
    <n v="35498.75"/>
    <x v="1"/>
    <n v="17039.400000000001"/>
  </r>
  <r>
    <n v="352"/>
    <s v="Feedmix"/>
    <x v="2"/>
    <d v="2024-03-14T00:00:00"/>
    <x v="0"/>
    <n v="10562.54"/>
    <s v="Churned"/>
    <m/>
    <n v="13"/>
    <x v="4"/>
    <s v="NA"/>
    <s v="EAST"/>
    <n v="30"/>
    <n v="316876.2"/>
    <x v="0"/>
    <n v="0"/>
  </r>
  <r>
    <n v="353"/>
    <s v="Thoughtblab"/>
    <x v="2"/>
    <d v="2025-03-05T00:00:00"/>
    <x v="2"/>
    <n v="1755.09"/>
    <s v="Pending Renewal"/>
    <d v="2026-03-23T00:00:00"/>
    <n v="6"/>
    <x v="3"/>
    <s v="NA"/>
    <s v="WEST"/>
    <n v="18"/>
    <n v="31591.62"/>
    <x v="2"/>
    <n v="0"/>
  </r>
  <r>
    <n v="354"/>
    <s v="Tagcat"/>
    <x v="0"/>
    <d v="2024-11-02T00:00:00"/>
    <x v="0"/>
    <n v="14815.27"/>
    <s v="At-Risk"/>
    <d v="2026-06-23T00:00:00"/>
    <n v="1"/>
    <x v="4"/>
    <s v="NA"/>
    <s v="EAST"/>
    <n v="22"/>
    <n v="325935.94"/>
    <x v="0"/>
    <n v="0"/>
  </r>
  <r>
    <n v="355"/>
    <s v="Devpoint"/>
    <x v="4"/>
    <d v="2024-08-16T00:00:00"/>
    <x v="2"/>
    <n v="2807.99"/>
    <s v="At-Risk"/>
    <d v="2025-09-20T00:00:00"/>
    <n v="11"/>
    <x v="0"/>
    <s v="APAC"/>
    <s v="SGP"/>
    <n v="25"/>
    <n v="70199.75"/>
    <x v="1"/>
    <n v="33695.879999999997"/>
  </r>
  <r>
    <n v="356"/>
    <s v="Jaxnation"/>
    <x v="3"/>
    <d v="2025-01-09T00:00:00"/>
    <x v="0"/>
    <n v="13661.29"/>
    <s v="At-Risk"/>
    <d v="2026-06-15T00:00:00"/>
    <n v="5"/>
    <x v="2"/>
    <s v="EU"/>
    <s v="CENTRAL"/>
    <n v="20"/>
    <n v="273225.80000000005"/>
    <x v="2"/>
    <n v="0"/>
  </r>
  <r>
    <n v="357"/>
    <s v="Mita"/>
    <x v="3"/>
    <d v="2024-12-06T00:00:00"/>
    <x v="1"/>
    <n v="8682.92"/>
    <s v="At-Risk"/>
    <d v="2026-04-16T00:00:00"/>
    <n v="6"/>
    <x v="4"/>
    <s v="NA"/>
    <s v="EAST"/>
    <n v="21"/>
    <n v="182341.32"/>
    <x v="2"/>
    <n v="0"/>
  </r>
  <r>
    <n v="358"/>
    <s v="Wikibox"/>
    <x v="4"/>
    <d v="2024-11-20T00:00:00"/>
    <x v="0"/>
    <n v="11555.58"/>
    <s v="Churned"/>
    <d v="2026-01-04T00:00:00"/>
    <n v="18"/>
    <x v="3"/>
    <s v="NA"/>
    <s v="WEST"/>
    <n v="14"/>
    <n v="161778.12"/>
    <x v="0"/>
    <n v="0"/>
  </r>
  <r>
    <n v="359"/>
    <s v="Rhybox"/>
    <x v="4"/>
    <d v="2024-02-29T00:00:00"/>
    <x v="2"/>
    <n v="6887.26"/>
    <s v="Churned"/>
    <d v="2026-06-28T00:00:00"/>
    <n v="10"/>
    <x v="4"/>
    <s v="NA"/>
    <s v="EAST"/>
    <n v="28"/>
    <n v="192843.28"/>
    <x v="2"/>
    <n v="0"/>
  </r>
  <r>
    <n v="360"/>
    <s v="Realcube"/>
    <x v="1"/>
    <d v="2024-02-25T00:00:00"/>
    <x v="0"/>
    <n v="9769.35"/>
    <s v="At-Risk"/>
    <d v="2025-11-10T00:00:00"/>
    <n v="9"/>
    <x v="1"/>
    <s v="MEA"/>
    <s v="EGY"/>
    <n v="31"/>
    <n v="302849.85000000003"/>
    <x v="2"/>
    <n v="0"/>
  </r>
  <r>
    <n v="361"/>
    <s v="Dabjam"/>
    <x v="3"/>
    <d v="2024-05-06T00:00:00"/>
    <x v="0"/>
    <n v="11536.85"/>
    <s v="Pending Renewal"/>
    <d v="2025-11-14T00:00:00"/>
    <n v="18"/>
    <x v="2"/>
    <s v="EU"/>
    <s v="CENTRAL"/>
    <n v="28"/>
    <n v="323031.8"/>
    <x v="2"/>
    <n v="0"/>
  </r>
  <r>
    <n v="362"/>
    <s v="Eidel"/>
    <x v="0"/>
    <d v="2025-04-05T00:00:00"/>
    <x v="0"/>
    <n v="8551.69"/>
    <s v="Churned"/>
    <d v="2025-09-06T00:00:00"/>
    <n v="11"/>
    <x v="2"/>
    <s v="EU"/>
    <s v="CENTRAL"/>
    <n v="5"/>
    <n v="42758.450000000004"/>
    <x v="0"/>
    <n v="0"/>
  </r>
  <r>
    <n v="363"/>
    <s v="Demizz"/>
    <x v="1"/>
    <d v="2024-04-14T00:00:00"/>
    <x v="0"/>
    <n v="14895.18"/>
    <s v="Active"/>
    <d v="2025-08-25T00:00:00"/>
    <n v="7"/>
    <x v="2"/>
    <s v="EU"/>
    <s v="CENTRAL"/>
    <n v="29"/>
    <n v="431960.22000000003"/>
    <x v="2"/>
    <n v="0"/>
  </r>
  <r>
    <n v="364"/>
    <s v="Gabtype"/>
    <x v="4"/>
    <d v="2025-02-09T00:00:00"/>
    <x v="0"/>
    <n v="13205.53"/>
    <s v="Churned"/>
    <m/>
    <n v="16"/>
    <x v="4"/>
    <s v="NA"/>
    <s v="EAST"/>
    <n v="19"/>
    <n v="250905.07"/>
    <x v="0"/>
    <n v="0"/>
  </r>
  <r>
    <n v="365"/>
    <s v="Livetube"/>
    <x v="1"/>
    <d v="2025-06-03T00:00:00"/>
    <x v="0"/>
    <n v="7755.62"/>
    <s v="Churned"/>
    <m/>
    <n v="9"/>
    <x v="3"/>
    <s v="NA"/>
    <s v="WEST"/>
    <n v="15"/>
    <n v="116334.3"/>
    <x v="2"/>
    <n v="0"/>
  </r>
  <r>
    <n v="366"/>
    <s v="Skiba"/>
    <x v="4"/>
    <d v="2024-10-10T00:00:00"/>
    <x v="2"/>
    <n v="4320.8500000000004"/>
    <s v="Active"/>
    <m/>
    <n v="1"/>
    <x v="2"/>
    <s v="EU"/>
    <s v="CENTRAL"/>
    <n v="23"/>
    <n v="99379.55"/>
    <x v="0"/>
    <n v="0"/>
  </r>
  <r>
    <n v="367"/>
    <s v="Quatz"/>
    <x v="2"/>
    <d v="2024-08-27T00:00:00"/>
    <x v="1"/>
    <n v="3727.14"/>
    <s v="Pending Renewal"/>
    <d v="2026-07-23T00:00:00"/>
    <n v="6"/>
    <x v="3"/>
    <s v="NA"/>
    <s v="WEST"/>
    <n v="25"/>
    <n v="93178.5"/>
    <x v="2"/>
    <n v="0"/>
  </r>
  <r>
    <n v="368"/>
    <s v="Lajo"/>
    <x v="0"/>
    <d v="2024-07-28T00:00:00"/>
    <x v="2"/>
    <n v="11468.46"/>
    <s v="At-Risk"/>
    <m/>
    <n v="12"/>
    <x v="3"/>
    <s v="NA"/>
    <s v="WEST"/>
    <n v="26"/>
    <n v="298179.95999999996"/>
    <x v="1"/>
    <n v="137621.51999999999"/>
  </r>
  <r>
    <n v="369"/>
    <s v="Wordpedia"/>
    <x v="0"/>
    <d v="2024-08-24T00:00:00"/>
    <x v="1"/>
    <n v="5041.55"/>
    <s v="At-Risk"/>
    <d v="2026-02-11T00:00:00"/>
    <n v="9"/>
    <x v="2"/>
    <s v="EU"/>
    <s v="CENTRAL"/>
    <n v="25"/>
    <n v="126038.75"/>
    <x v="2"/>
    <n v="0"/>
  </r>
  <r>
    <n v="370"/>
    <s v="Babbleopia"/>
    <x v="0"/>
    <d v="2024-10-16T00:00:00"/>
    <x v="2"/>
    <n v="3472.91"/>
    <s v="Pending Renewal"/>
    <d v="2026-05-17T00:00:00"/>
    <n v="17"/>
    <x v="4"/>
    <s v="NA"/>
    <s v="EAST"/>
    <n v="23"/>
    <n v="79876.929999999993"/>
    <x v="2"/>
    <n v="0"/>
  </r>
  <r>
    <n v="371"/>
    <s v="Browsebug"/>
    <x v="3"/>
    <d v="2024-04-08T00:00:00"/>
    <x v="2"/>
    <n v="7918.69"/>
    <s v="Active"/>
    <d v="2026-08-26T00:00:00"/>
    <n v="17"/>
    <x v="2"/>
    <s v="EU"/>
    <s v="CENTRAL"/>
    <n v="29"/>
    <n v="229642.00999999998"/>
    <x v="0"/>
    <n v="0"/>
  </r>
  <r>
    <n v="372"/>
    <s v="Katz"/>
    <x v="2"/>
    <d v="2025-04-30T00:00:00"/>
    <x v="1"/>
    <n v="3487.01"/>
    <s v="At-Risk"/>
    <d v="2025-07-18T00:00:00"/>
    <n v="3"/>
    <x v="3"/>
    <s v="NA"/>
    <s v="WEST"/>
    <n v="17"/>
    <n v="59279.170000000006"/>
    <x v="0"/>
    <n v="0"/>
  </r>
  <r>
    <n v="373"/>
    <s v="Eadel"/>
    <x v="3"/>
    <d v="2025-02-20T00:00:00"/>
    <x v="0"/>
    <n v="4936.46"/>
    <s v="Pending Renewal"/>
    <d v="2025-11-11T00:00:00"/>
    <n v="2"/>
    <x v="0"/>
    <s v="APAC"/>
    <s v="SGP"/>
    <n v="19"/>
    <n v="93792.74"/>
    <x v="2"/>
    <n v="0"/>
  </r>
  <r>
    <n v="374"/>
    <s v="Livetube"/>
    <x v="2"/>
    <d v="2025-04-26T00:00:00"/>
    <x v="1"/>
    <n v="5881.3"/>
    <s v="At-Risk"/>
    <d v="2026-06-07T00:00:00"/>
    <n v="8"/>
    <x v="2"/>
    <s v="EU"/>
    <s v="CENTRAL"/>
    <n v="17"/>
    <n v="99982.1"/>
    <x v="2"/>
    <n v="0"/>
  </r>
  <r>
    <n v="375"/>
    <s v="Leenti"/>
    <x v="2"/>
    <d v="2024-06-07T00:00:00"/>
    <x v="1"/>
    <n v="13417.69"/>
    <s v="Pending Renewal"/>
    <d v="2025-08-23T00:00:00"/>
    <n v="8"/>
    <x v="0"/>
    <s v="APAC"/>
    <s v="SGP"/>
    <n v="27"/>
    <n v="362277.63"/>
    <x v="2"/>
    <n v="0"/>
  </r>
  <r>
    <n v="376"/>
    <s v="Blogtag"/>
    <x v="0"/>
    <d v="2025-03-18T00:00:00"/>
    <x v="2"/>
    <n v="12713.44"/>
    <s v="Churned"/>
    <d v="2025-08-26T00:00:00"/>
    <n v="16"/>
    <x v="0"/>
    <s v="APAC"/>
    <s v="SGP"/>
    <n v="5"/>
    <n v="63567.200000000004"/>
    <x v="0"/>
    <n v="0"/>
  </r>
  <r>
    <n v="377"/>
    <s v="Lajo"/>
    <x v="2"/>
    <d v="2024-11-22T00:00:00"/>
    <x v="1"/>
    <n v="11827.02"/>
    <s v="Churned"/>
    <m/>
    <n v="13"/>
    <x v="0"/>
    <s v="APAC"/>
    <s v="SGP"/>
    <n v="22"/>
    <n v="260194.44"/>
    <x v="0"/>
    <n v="0"/>
  </r>
  <r>
    <n v="378"/>
    <s v="Wordtune"/>
    <x v="0"/>
    <d v="2024-10-06T00:00:00"/>
    <x v="0"/>
    <n v="10609.36"/>
    <s v="At-Risk"/>
    <d v="2025-09-11T00:00:00"/>
    <n v="9"/>
    <x v="4"/>
    <s v="NA"/>
    <s v="EAST"/>
    <n v="23"/>
    <n v="244015.28000000003"/>
    <x v="2"/>
    <n v="0"/>
  </r>
  <r>
    <n v="379"/>
    <s v="Voolith"/>
    <x v="0"/>
    <d v="2024-07-09T00:00:00"/>
    <x v="0"/>
    <n v="8383.48"/>
    <s v="Pending Renewal"/>
    <d v="2025-07-27T00:00:00"/>
    <n v="1"/>
    <x v="1"/>
    <s v="MEA"/>
    <s v="EGY"/>
    <n v="26"/>
    <n v="217970.47999999998"/>
    <x v="2"/>
    <n v="0"/>
  </r>
  <r>
    <n v="380"/>
    <s v="Gigaclub"/>
    <x v="3"/>
    <d v="2024-10-07T00:00:00"/>
    <x v="1"/>
    <n v="7915.54"/>
    <s v="Churned"/>
    <m/>
    <n v="3"/>
    <x v="1"/>
    <s v="MEA"/>
    <s v="EGY"/>
    <n v="23"/>
    <n v="182057.42"/>
    <x v="0"/>
    <n v="0"/>
  </r>
  <r>
    <n v="381"/>
    <s v="Jaxworks"/>
    <x v="2"/>
    <d v="2024-03-12T00:00:00"/>
    <x v="0"/>
    <n v="6511.61"/>
    <s v="Churned"/>
    <d v="2025-07-07T00:00:00"/>
    <n v="9"/>
    <x v="2"/>
    <s v="EU"/>
    <s v="CENTRAL"/>
    <n v="16"/>
    <n v="104185.76"/>
    <x v="2"/>
    <n v="0"/>
  </r>
  <r>
    <n v="382"/>
    <s v="Oyoyo"/>
    <x v="0"/>
    <d v="2024-08-09T00:00:00"/>
    <x v="1"/>
    <n v="7648.17"/>
    <s v="Churned"/>
    <d v="2026-08-08T00:00:00"/>
    <n v="7"/>
    <x v="1"/>
    <s v="MEA"/>
    <s v="EGY"/>
    <n v="24"/>
    <n v="183556.08000000002"/>
    <x v="2"/>
    <n v="0"/>
  </r>
  <r>
    <n v="383"/>
    <s v="Oyoba"/>
    <x v="2"/>
    <d v="2025-04-14T00:00:00"/>
    <x v="1"/>
    <n v="4504.2299999999996"/>
    <s v="At-Risk"/>
    <d v="2025-11-23T00:00:00"/>
    <n v="4"/>
    <x v="1"/>
    <s v="MEA"/>
    <s v="EGY"/>
    <n v="17"/>
    <n v="76571.909999999989"/>
    <x v="0"/>
    <n v="0"/>
  </r>
  <r>
    <n v="384"/>
    <s v="Bubbletube"/>
    <x v="2"/>
    <d v="2024-10-22T00:00:00"/>
    <x v="1"/>
    <n v="12788.92"/>
    <s v="At-Risk"/>
    <d v="2025-10-12T00:00:00"/>
    <n v="5"/>
    <x v="2"/>
    <s v="EU"/>
    <s v="CENTRAL"/>
    <n v="23"/>
    <n v="294145.15999999997"/>
    <x v="2"/>
    <n v="0"/>
  </r>
  <r>
    <n v="385"/>
    <s v="Buzzdog"/>
    <x v="3"/>
    <d v="2025-02-01T00:00:00"/>
    <x v="1"/>
    <n v="6359.61"/>
    <s v="Active"/>
    <m/>
    <n v="7"/>
    <x v="4"/>
    <s v="NA"/>
    <s v="EAST"/>
    <n v="19"/>
    <n v="120832.59"/>
    <x v="2"/>
    <n v="0"/>
  </r>
  <r>
    <n v="386"/>
    <s v="Fadeo"/>
    <x v="3"/>
    <d v="2024-04-10T00:00:00"/>
    <x v="2"/>
    <n v="827.23"/>
    <s v="Active"/>
    <m/>
    <n v="6"/>
    <x v="0"/>
    <s v="APAC"/>
    <s v="SGP"/>
    <n v="29"/>
    <n v="23989.670000000002"/>
    <x v="2"/>
    <n v="0"/>
  </r>
  <r>
    <n v="387"/>
    <s v="Oozz"/>
    <x v="1"/>
    <d v="2025-03-29T00:00:00"/>
    <x v="1"/>
    <n v="4202.83"/>
    <s v="Pending Renewal"/>
    <d v="2026-08-29T00:00:00"/>
    <n v="1"/>
    <x v="4"/>
    <s v="NA"/>
    <s v="EAST"/>
    <n v="18"/>
    <n v="75650.94"/>
    <x v="2"/>
    <n v="0"/>
  </r>
  <r>
    <n v="388"/>
    <s v="Wikivu"/>
    <x v="2"/>
    <d v="2025-04-02T00:00:00"/>
    <x v="1"/>
    <n v="13618.19"/>
    <s v="Pending Renewal"/>
    <m/>
    <n v="12"/>
    <x v="1"/>
    <s v="MEA"/>
    <s v="EGY"/>
    <n v="17"/>
    <n v="231509.23"/>
    <x v="2"/>
    <n v="0"/>
  </r>
  <r>
    <n v="389"/>
    <s v="Abata"/>
    <x v="3"/>
    <d v="2024-07-28T00:00:00"/>
    <x v="1"/>
    <n v="9467.67"/>
    <s v="Pending Renewal"/>
    <d v="2026-05-31T00:00:00"/>
    <n v="14"/>
    <x v="4"/>
    <s v="NA"/>
    <s v="EAST"/>
    <n v="26"/>
    <n v="246159.42"/>
    <x v="2"/>
    <n v="0"/>
  </r>
  <r>
    <n v="390"/>
    <s v="Mita"/>
    <x v="2"/>
    <d v="2024-02-06T00:00:00"/>
    <x v="2"/>
    <n v="11876"/>
    <s v="Churned"/>
    <d v="2025-09-27T00:00:00"/>
    <n v="14"/>
    <x v="1"/>
    <s v="MEA"/>
    <s v="EGY"/>
    <n v="19"/>
    <n v="225644"/>
    <x v="0"/>
    <n v="0"/>
  </r>
  <r>
    <n v="391"/>
    <s v="Yadel"/>
    <x v="3"/>
    <d v="2025-06-02T00:00:00"/>
    <x v="1"/>
    <n v="14651.02"/>
    <s v="Churned"/>
    <d v="2026-07-17T00:00:00"/>
    <n v="5"/>
    <x v="1"/>
    <s v="MEA"/>
    <s v="EGY"/>
    <n v="13"/>
    <n v="190463.26"/>
    <x v="2"/>
    <n v="0"/>
  </r>
  <r>
    <n v="392"/>
    <s v="Yakijo"/>
    <x v="2"/>
    <d v="2024-01-24T00:00:00"/>
    <x v="0"/>
    <n v="3438.02"/>
    <s v="Churned"/>
    <d v="2026-03-31T00:00:00"/>
    <n v="10"/>
    <x v="1"/>
    <s v="MEA"/>
    <s v="EGY"/>
    <n v="26"/>
    <n v="89388.52"/>
    <x v="2"/>
    <n v="0"/>
  </r>
  <r>
    <n v="393"/>
    <s v="Skynoodle"/>
    <x v="2"/>
    <d v="2024-08-26T00:00:00"/>
    <x v="1"/>
    <n v="5750.16"/>
    <s v="Pending Renewal"/>
    <d v="2025-12-10T00:00:00"/>
    <n v="6"/>
    <x v="1"/>
    <s v="MEA"/>
    <s v="EGY"/>
    <n v="25"/>
    <n v="143754"/>
    <x v="2"/>
    <n v="0"/>
  </r>
  <r>
    <n v="394"/>
    <s v="Meevee"/>
    <x v="0"/>
    <d v="2024-08-05T00:00:00"/>
    <x v="2"/>
    <n v="8876.9699999999993"/>
    <s v="Pending Renewal"/>
    <d v="2026-03-25T00:00:00"/>
    <n v="8"/>
    <x v="2"/>
    <s v="EU"/>
    <s v="CENTRAL"/>
    <n v="25"/>
    <n v="221924.24999999997"/>
    <x v="2"/>
    <n v="0"/>
  </r>
  <r>
    <n v="395"/>
    <s v="Bubblebox"/>
    <x v="2"/>
    <d v="2024-04-15T00:00:00"/>
    <x v="0"/>
    <n v="6525.93"/>
    <s v="Pending Renewal"/>
    <d v="2026-02-12T00:00:00"/>
    <n v="4"/>
    <x v="1"/>
    <s v="MEA"/>
    <s v="EGY"/>
    <n v="29"/>
    <n v="189251.97"/>
    <x v="2"/>
    <n v="0"/>
  </r>
  <r>
    <n v="396"/>
    <s v="Voomm"/>
    <x v="1"/>
    <d v="2025-02-13T00:00:00"/>
    <x v="1"/>
    <n v="11830.42"/>
    <s v="Active"/>
    <d v="2025-09-11T00:00:00"/>
    <n v="2"/>
    <x v="3"/>
    <s v="NA"/>
    <s v="WEST"/>
    <n v="19"/>
    <n v="224777.98"/>
    <x v="0"/>
    <n v="0"/>
  </r>
  <r>
    <n v="397"/>
    <s v="Fivebridge"/>
    <x v="3"/>
    <d v="2025-05-05T00:00:00"/>
    <x v="0"/>
    <n v="512.66"/>
    <s v="At-Risk"/>
    <d v="2025-09-20T00:00:00"/>
    <n v="17"/>
    <x v="3"/>
    <s v="NA"/>
    <s v="WEST"/>
    <n v="16"/>
    <n v="8202.56"/>
    <x v="1"/>
    <n v="6151.92"/>
  </r>
  <r>
    <n v="398"/>
    <s v="Layo"/>
    <x v="4"/>
    <d v="2025-01-03T00:00:00"/>
    <x v="0"/>
    <n v="5247.85"/>
    <s v="At-Risk"/>
    <d v="2025-10-10T00:00:00"/>
    <n v="2"/>
    <x v="1"/>
    <s v="MEA"/>
    <s v="EGY"/>
    <n v="20"/>
    <n v="104957"/>
    <x v="0"/>
    <n v="0"/>
  </r>
  <r>
    <n v="399"/>
    <s v="Flashset"/>
    <x v="3"/>
    <d v="2024-12-14T00:00:00"/>
    <x v="0"/>
    <n v="2309.73"/>
    <s v="At-Risk"/>
    <m/>
    <n v="12"/>
    <x v="0"/>
    <s v="APAC"/>
    <s v="SGP"/>
    <n v="21"/>
    <n v="48504.33"/>
    <x v="1"/>
    <n v="27716.760000000002"/>
  </r>
  <r>
    <n v="400"/>
    <s v="Lazz"/>
    <x v="2"/>
    <d v="2024-06-24T00:00:00"/>
    <x v="0"/>
    <n v="3959.03"/>
    <s v="At-Risk"/>
    <d v="2025-08-22T00:00:00"/>
    <n v="0"/>
    <x v="3"/>
    <s v="NA"/>
    <s v="WEST"/>
    <n v="27"/>
    <n v="106893.81000000001"/>
    <x v="0"/>
    <n v="0"/>
  </r>
  <r>
    <n v="401"/>
    <s v="Realbridge"/>
    <x v="0"/>
    <d v="2024-02-02T00:00:00"/>
    <x v="0"/>
    <n v="13055.15"/>
    <s v="Pending Renewal"/>
    <d v="2025-07-05T00:00:00"/>
    <n v="6"/>
    <x v="1"/>
    <s v="MEA"/>
    <s v="EGY"/>
    <n v="31"/>
    <n v="404709.64999999997"/>
    <x v="2"/>
    <n v="0"/>
  </r>
  <r>
    <n v="402"/>
    <s v="Gigashots"/>
    <x v="0"/>
    <d v="2024-10-22T00:00:00"/>
    <x v="0"/>
    <n v="2261.14"/>
    <s v="Churned"/>
    <d v="2026-04-11T00:00:00"/>
    <n v="10"/>
    <x v="2"/>
    <s v="EU"/>
    <s v="CENTRAL"/>
    <n v="18"/>
    <n v="40700.519999999997"/>
    <x v="2"/>
    <n v="0"/>
  </r>
  <r>
    <n v="403"/>
    <s v="Aivee"/>
    <x v="2"/>
    <d v="2024-10-16T00:00:00"/>
    <x v="0"/>
    <n v="8380.42"/>
    <s v="Churned"/>
    <d v="2026-06-07T00:00:00"/>
    <n v="10"/>
    <x v="1"/>
    <s v="MEA"/>
    <s v="EGY"/>
    <n v="20"/>
    <n v="167608.4"/>
    <x v="2"/>
    <n v="0"/>
  </r>
  <r>
    <n v="404"/>
    <s v="Thoughtmix"/>
    <x v="0"/>
    <d v="2025-04-01T00:00:00"/>
    <x v="0"/>
    <n v="6835.54"/>
    <s v="Active"/>
    <m/>
    <n v="16"/>
    <x v="4"/>
    <s v="NA"/>
    <s v="EAST"/>
    <n v="17"/>
    <n v="116204.18"/>
    <x v="0"/>
    <n v="0"/>
  </r>
  <r>
    <n v="405"/>
    <s v="Browsebug"/>
    <x v="0"/>
    <d v="2024-10-15T00:00:00"/>
    <x v="1"/>
    <n v="3262.19"/>
    <s v="Pending Renewal"/>
    <d v="2025-07-01T00:00:00"/>
    <n v="18"/>
    <x v="0"/>
    <s v="APAC"/>
    <s v="SGP"/>
    <n v="23"/>
    <n v="75030.37"/>
    <x v="2"/>
    <n v="0"/>
  </r>
  <r>
    <n v="406"/>
    <s v="Aibox"/>
    <x v="4"/>
    <d v="2024-09-12T00:00:00"/>
    <x v="2"/>
    <n v="14601.56"/>
    <s v="Churned"/>
    <d v="2025-11-05T00:00:00"/>
    <n v="2"/>
    <x v="4"/>
    <s v="NA"/>
    <s v="EAST"/>
    <n v="14"/>
    <n v="204421.84"/>
    <x v="0"/>
    <n v="0"/>
  </r>
  <r>
    <n v="407"/>
    <s v="Demimbu"/>
    <x v="4"/>
    <d v="2024-05-19T00:00:00"/>
    <x v="0"/>
    <n v="607.72"/>
    <s v="Pending Renewal"/>
    <d v="2026-03-02T00:00:00"/>
    <n v="8"/>
    <x v="3"/>
    <s v="NA"/>
    <s v="WEST"/>
    <n v="28"/>
    <n v="17016.16"/>
    <x v="2"/>
    <n v="0"/>
  </r>
  <r>
    <n v="408"/>
    <s v="Centimia"/>
    <x v="1"/>
    <d v="2025-02-10T00:00:00"/>
    <x v="0"/>
    <n v="4831.6499999999996"/>
    <s v="Churned"/>
    <d v="2025-11-03T00:00:00"/>
    <n v="3"/>
    <x v="3"/>
    <s v="NA"/>
    <s v="WEST"/>
    <n v="9"/>
    <n v="43484.85"/>
    <x v="0"/>
    <n v="0"/>
  </r>
  <r>
    <n v="409"/>
    <s v="Mymm"/>
    <x v="3"/>
    <d v="2024-03-22T00:00:00"/>
    <x v="1"/>
    <n v="6912.68"/>
    <s v="At-Risk"/>
    <d v="2026-04-07T00:00:00"/>
    <n v="10"/>
    <x v="2"/>
    <s v="EU"/>
    <s v="CENTRAL"/>
    <n v="30"/>
    <n v="207380.40000000002"/>
    <x v="2"/>
    <n v="0"/>
  </r>
  <r>
    <n v="410"/>
    <s v="Babbleset"/>
    <x v="1"/>
    <d v="2024-12-11T00:00:00"/>
    <x v="2"/>
    <n v="966.97"/>
    <s v="Pending Renewal"/>
    <d v="2026-04-05T00:00:00"/>
    <n v="5"/>
    <x v="2"/>
    <s v="EU"/>
    <s v="CENTRAL"/>
    <n v="21"/>
    <n v="20306.37"/>
    <x v="2"/>
    <n v="0"/>
  </r>
  <r>
    <n v="411"/>
    <s v="Eayo"/>
    <x v="1"/>
    <d v="2024-10-17T00:00:00"/>
    <x v="0"/>
    <n v="13801.14"/>
    <s v="At-Risk"/>
    <m/>
    <n v="5"/>
    <x v="2"/>
    <s v="EU"/>
    <s v="CENTRAL"/>
    <n v="23"/>
    <n v="317426.21999999997"/>
    <x v="2"/>
    <n v="0"/>
  </r>
  <r>
    <n v="412"/>
    <s v="Realbridge"/>
    <x v="1"/>
    <d v="2024-06-18T00:00:00"/>
    <x v="0"/>
    <n v="8649.82"/>
    <s v="Active"/>
    <d v="2026-05-16T00:00:00"/>
    <n v="0"/>
    <x v="4"/>
    <s v="NA"/>
    <s v="EAST"/>
    <n v="27"/>
    <n v="233545.13999999998"/>
    <x v="0"/>
    <n v="0"/>
  </r>
  <r>
    <n v="413"/>
    <s v="Skinix"/>
    <x v="0"/>
    <d v="2025-02-22T00:00:00"/>
    <x v="2"/>
    <n v="2293.83"/>
    <s v="Churned"/>
    <d v="2025-07-01T00:00:00"/>
    <n v="8"/>
    <x v="2"/>
    <s v="EU"/>
    <s v="CENTRAL"/>
    <n v="5"/>
    <n v="11469.15"/>
    <x v="2"/>
    <n v="0"/>
  </r>
  <r>
    <n v="414"/>
    <s v="Jaloo"/>
    <x v="4"/>
    <d v="2024-08-01T00:00:00"/>
    <x v="2"/>
    <n v="10173.870000000001"/>
    <s v="At-Risk"/>
    <d v="2026-01-20T00:00:00"/>
    <n v="17"/>
    <x v="2"/>
    <s v="EU"/>
    <s v="CENTRAL"/>
    <n v="25"/>
    <n v="254346.75000000003"/>
    <x v="1"/>
    <n v="122086.44"/>
  </r>
  <r>
    <n v="415"/>
    <s v="Wikizz"/>
    <x v="1"/>
    <d v="2024-04-30T00:00:00"/>
    <x v="2"/>
    <n v="10133.02"/>
    <s v="Active"/>
    <d v="2025-10-18T00:00:00"/>
    <n v="5"/>
    <x v="2"/>
    <s v="EU"/>
    <s v="CENTRAL"/>
    <n v="29"/>
    <n v="293857.58"/>
    <x v="2"/>
    <n v="0"/>
  </r>
  <r>
    <n v="416"/>
    <s v="Dynava"/>
    <x v="2"/>
    <d v="2024-10-05T00:00:00"/>
    <x v="1"/>
    <n v="5025.0600000000004"/>
    <s v="Pending Renewal"/>
    <d v="2026-08-01T00:00:00"/>
    <n v="16"/>
    <x v="4"/>
    <s v="NA"/>
    <s v="EAST"/>
    <n v="23"/>
    <n v="115576.38"/>
    <x v="2"/>
    <n v="0"/>
  </r>
  <r>
    <n v="417"/>
    <s v="Eidel"/>
    <x v="1"/>
    <d v="2024-09-16T00:00:00"/>
    <x v="0"/>
    <n v="9640.32"/>
    <s v="At-Risk"/>
    <m/>
    <n v="10"/>
    <x v="1"/>
    <s v="MEA"/>
    <s v="EGY"/>
    <n v="24"/>
    <n v="231367.67999999999"/>
    <x v="2"/>
    <n v="0"/>
  </r>
  <r>
    <n v="418"/>
    <s v="Tavu"/>
    <x v="2"/>
    <d v="2024-07-08T00:00:00"/>
    <x v="2"/>
    <n v="2357.06"/>
    <s v="At-Risk"/>
    <d v="2026-01-09T00:00:00"/>
    <n v="6"/>
    <x v="0"/>
    <s v="APAC"/>
    <s v="SGP"/>
    <n v="26"/>
    <n v="61283.56"/>
    <x v="2"/>
    <n v="0"/>
  </r>
  <r>
    <n v="419"/>
    <s v="Zazio"/>
    <x v="1"/>
    <d v="2024-02-24T00:00:00"/>
    <x v="2"/>
    <n v="4627.34"/>
    <s v="Active"/>
    <d v="2026-08-11T00:00:00"/>
    <n v="10"/>
    <x v="2"/>
    <s v="EU"/>
    <s v="CENTRAL"/>
    <n v="31"/>
    <n v="143447.54"/>
    <x v="2"/>
    <n v="0"/>
  </r>
  <r>
    <n v="420"/>
    <s v="Npath"/>
    <x v="0"/>
    <d v="2024-11-18T00:00:00"/>
    <x v="0"/>
    <n v="3886.56"/>
    <s v="Active"/>
    <d v="2026-06-17T00:00:00"/>
    <n v="12"/>
    <x v="3"/>
    <s v="NA"/>
    <s v="WEST"/>
    <n v="22"/>
    <n v="85504.319999999992"/>
    <x v="0"/>
    <n v="0"/>
  </r>
  <r>
    <n v="421"/>
    <s v="Pixonyx"/>
    <x v="2"/>
    <d v="2024-11-14T00:00:00"/>
    <x v="0"/>
    <n v="12823.61"/>
    <s v="Pending Renewal"/>
    <d v="2026-01-16T00:00:00"/>
    <n v="18"/>
    <x v="2"/>
    <s v="EU"/>
    <s v="CENTRAL"/>
    <n v="22"/>
    <n v="282119.42000000004"/>
    <x v="2"/>
    <n v="0"/>
  </r>
  <r>
    <n v="422"/>
    <s v="Gabspot"/>
    <x v="4"/>
    <d v="2024-10-20T00:00:00"/>
    <x v="2"/>
    <n v="6207.03"/>
    <s v="At-Risk"/>
    <m/>
    <n v="12"/>
    <x v="4"/>
    <s v="NA"/>
    <s v="EAST"/>
    <n v="23"/>
    <n v="142761.69"/>
    <x v="1"/>
    <n v="74484.36"/>
  </r>
  <r>
    <n v="423"/>
    <s v="Quatz"/>
    <x v="3"/>
    <d v="2024-12-19T00:00:00"/>
    <x v="2"/>
    <n v="8644.35"/>
    <s v="At-Risk"/>
    <d v="2025-07-31T00:00:00"/>
    <n v="15"/>
    <x v="3"/>
    <s v="NA"/>
    <s v="WEST"/>
    <n v="21"/>
    <n v="181531.35"/>
    <x v="1"/>
    <n v="103732.20000000001"/>
  </r>
  <r>
    <n v="424"/>
    <s v="Devcast"/>
    <x v="4"/>
    <d v="2024-03-28T00:00:00"/>
    <x v="1"/>
    <n v="8298.31"/>
    <s v="At-Risk"/>
    <d v="2025-09-01T00:00:00"/>
    <n v="2"/>
    <x v="1"/>
    <s v="MEA"/>
    <s v="EGY"/>
    <n v="30"/>
    <n v="248949.3"/>
    <x v="0"/>
    <n v="0"/>
  </r>
  <r>
    <n v="425"/>
    <s v="Twinder"/>
    <x v="2"/>
    <d v="2025-05-20T00:00:00"/>
    <x v="1"/>
    <n v="10614.31"/>
    <s v="Pending Renewal"/>
    <d v="2026-06-07T00:00:00"/>
    <n v="12"/>
    <x v="2"/>
    <s v="EU"/>
    <s v="CENTRAL"/>
    <n v="16"/>
    <n v="169828.96"/>
    <x v="2"/>
    <n v="0"/>
  </r>
  <r>
    <n v="426"/>
    <s v="Skiptube"/>
    <x v="3"/>
    <d v="2024-11-16T00:00:00"/>
    <x v="0"/>
    <n v="4063.89"/>
    <s v="Pending Renewal"/>
    <d v="2026-03-13T00:00:00"/>
    <n v="3"/>
    <x v="2"/>
    <s v="EU"/>
    <s v="CENTRAL"/>
    <n v="22"/>
    <n v="89405.58"/>
    <x v="2"/>
    <n v="0"/>
  </r>
  <r>
    <n v="427"/>
    <s v="Jetwire"/>
    <x v="4"/>
    <d v="2025-06-06T00:00:00"/>
    <x v="1"/>
    <n v="1537.47"/>
    <s v="Pending Renewal"/>
    <d v="2026-07-09T00:00:00"/>
    <n v="10"/>
    <x v="0"/>
    <s v="APAC"/>
    <s v="SGP"/>
    <n v="15"/>
    <n v="23062.05"/>
    <x v="2"/>
    <n v="0"/>
  </r>
  <r>
    <n v="428"/>
    <s v="Chatterbridge"/>
    <x v="0"/>
    <d v="2025-04-22T00:00:00"/>
    <x v="0"/>
    <n v="9987.77"/>
    <s v="Churned"/>
    <d v="2026-04-15T00:00:00"/>
    <n v="0"/>
    <x v="2"/>
    <s v="EU"/>
    <s v="CENTRAL"/>
    <n v="12"/>
    <n v="119853.24"/>
    <x v="0"/>
    <n v="0"/>
  </r>
  <r>
    <n v="429"/>
    <s v="Jabberbean"/>
    <x v="1"/>
    <d v="2024-10-11T00:00:00"/>
    <x v="1"/>
    <n v="14763.79"/>
    <s v="At-Risk"/>
    <d v="2026-06-21T00:00:00"/>
    <n v="13"/>
    <x v="1"/>
    <s v="MEA"/>
    <s v="EGY"/>
    <n v="23"/>
    <n v="339567.17000000004"/>
    <x v="1"/>
    <n v="177165.48"/>
  </r>
  <r>
    <n v="430"/>
    <s v="Gabtune"/>
    <x v="2"/>
    <d v="2024-06-03T00:00:00"/>
    <x v="1"/>
    <n v="7930.3"/>
    <s v="Active"/>
    <d v="2025-09-21T00:00:00"/>
    <n v="0"/>
    <x v="3"/>
    <s v="NA"/>
    <s v="WEST"/>
    <n v="27"/>
    <n v="214118.1"/>
    <x v="0"/>
    <n v="0"/>
  </r>
  <r>
    <n v="431"/>
    <s v="Edgeblab"/>
    <x v="0"/>
    <d v="2024-10-12T00:00:00"/>
    <x v="0"/>
    <n v="8326.49"/>
    <s v="At-Risk"/>
    <m/>
    <n v="17"/>
    <x v="1"/>
    <s v="MEA"/>
    <s v="EGY"/>
    <n v="23"/>
    <n v="191509.27"/>
    <x v="1"/>
    <n v="99917.88"/>
  </r>
  <r>
    <n v="432"/>
    <s v="Skilith"/>
    <x v="0"/>
    <d v="2024-08-14T00:00:00"/>
    <x v="1"/>
    <n v="10003.209999999999"/>
    <s v="Active"/>
    <d v="2025-09-07T00:00:00"/>
    <n v="12"/>
    <x v="2"/>
    <s v="EU"/>
    <s v="CENTRAL"/>
    <n v="25"/>
    <n v="250080.24999999997"/>
    <x v="0"/>
    <n v="0"/>
  </r>
  <r>
    <n v="433"/>
    <s v="Skaboo"/>
    <x v="1"/>
    <d v="2025-01-29T00:00:00"/>
    <x v="2"/>
    <n v="2765.35"/>
    <s v="Active"/>
    <m/>
    <n v="3"/>
    <x v="0"/>
    <s v="APAC"/>
    <s v="SGP"/>
    <n v="20"/>
    <n v="55307"/>
    <x v="0"/>
    <n v="0"/>
  </r>
  <r>
    <n v="434"/>
    <s v="Jazzy"/>
    <x v="1"/>
    <d v="2025-05-06T00:00:00"/>
    <x v="2"/>
    <n v="8382.82"/>
    <s v="Churned"/>
    <d v="2026-04-02T00:00:00"/>
    <n v="11"/>
    <x v="3"/>
    <s v="NA"/>
    <s v="WEST"/>
    <n v="11"/>
    <n v="92211.01999999999"/>
    <x v="0"/>
    <n v="0"/>
  </r>
  <r>
    <n v="435"/>
    <s v="Wordpedia"/>
    <x v="3"/>
    <d v="2024-06-18T00:00:00"/>
    <x v="1"/>
    <n v="8557.7099999999991"/>
    <s v="At-Risk"/>
    <d v="2026-01-22T00:00:00"/>
    <n v="5"/>
    <x v="0"/>
    <s v="APAC"/>
    <s v="SGP"/>
    <n v="27"/>
    <n v="231058.16999999998"/>
    <x v="2"/>
    <n v="0"/>
  </r>
  <r>
    <n v="436"/>
    <s v="Rhycero"/>
    <x v="3"/>
    <d v="2024-08-13T00:00:00"/>
    <x v="1"/>
    <n v="10113.66"/>
    <s v="Churned"/>
    <m/>
    <n v="7"/>
    <x v="1"/>
    <s v="MEA"/>
    <s v="EGY"/>
    <n v="25"/>
    <n v="252841.5"/>
    <x v="2"/>
    <n v="0"/>
  </r>
  <r>
    <n v="437"/>
    <s v="Chatterbridge"/>
    <x v="0"/>
    <d v="2024-10-24T00:00:00"/>
    <x v="0"/>
    <n v="1609.29"/>
    <s v="Active"/>
    <d v="2026-03-24T00:00:00"/>
    <n v="16"/>
    <x v="2"/>
    <s v="EU"/>
    <s v="CENTRAL"/>
    <n v="23"/>
    <n v="37013.67"/>
    <x v="0"/>
    <n v="0"/>
  </r>
  <r>
    <n v="438"/>
    <s v="Gigaclub"/>
    <x v="1"/>
    <d v="2025-05-30T00:00:00"/>
    <x v="1"/>
    <n v="4242.16"/>
    <s v="Churned"/>
    <d v="2026-06-16T00:00:00"/>
    <n v="3"/>
    <x v="3"/>
    <s v="NA"/>
    <s v="WEST"/>
    <n v="13"/>
    <n v="55148.08"/>
    <x v="0"/>
    <n v="0"/>
  </r>
  <r>
    <n v="439"/>
    <s v="Roodel"/>
    <x v="1"/>
    <d v="2025-01-30T00:00:00"/>
    <x v="0"/>
    <n v="8623.7199999999993"/>
    <s v="At-Risk"/>
    <d v="2026-01-18T00:00:00"/>
    <n v="8"/>
    <x v="4"/>
    <s v="NA"/>
    <s v="EAST"/>
    <n v="20"/>
    <n v="172474.4"/>
    <x v="2"/>
    <n v="0"/>
  </r>
  <r>
    <n v="440"/>
    <s v="Livetube"/>
    <x v="3"/>
    <d v="2024-08-06T00:00:00"/>
    <x v="2"/>
    <n v="12446.63"/>
    <s v="Active"/>
    <d v="2026-03-04T00:00:00"/>
    <n v="15"/>
    <x v="1"/>
    <s v="MEA"/>
    <s v="EGY"/>
    <n v="25"/>
    <n v="311165.75"/>
    <x v="0"/>
    <n v="0"/>
  </r>
  <r>
    <n v="441"/>
    <s v="Rhynoodle"/>
    <x v="0"/>
    <d v="2024-05-16T00:00:00"/>
    <x v="0"/>
    <n v="6082.05"/>
    <s v="At-Risk"/>
    <d v="2026-07-26T00:00:00"/>
    <n v="14"/>
    <x v="3"/>
    <s v="NA"/>
    <s v="WEST"/>
    <n v="28"/>
    <n v="170297.4"/>
    <x v="1"/>
    <n v="72984.600000000006"/>
  </r>
  <r>
    <n v="442"/>
    <s v="Rhyzio"/>
    <x v="0"/>
    <d v="2025-05-18T00:00:00"/>
    <x v="2"/>
    <n v="5867.03"/>
    <s v="Churned"/>
    <d v="2025-11-29T00:00:00"/>
    <n v="9"/>
    <x v="3"/>
    <s v="NA"/>
    <s v="WEST"/>
    <n v="6"/>
    <n v="35202.18"/>
    <x v="2"/>
    <n v="0"/>
  </r>
  <r>
    <n v="443"/>
    <s v="Jabbercube"/>
    <x v="2"/>
    <d v="2024-07-10T00:00:00"/>
    <x v="2"/>
    <n v="1030.46"/>
    <s v="Active"/>
    <d v="2026-05-27T00:00:00"/>
    <n v="2"/>
    <x v="0"/>
    <s v="APAC"/>
    <s v="SGP"/>
    <n v="26"/>
    <n v="26791.96"/>
    <x v="0"/>
    <n v="0"/>
  </r>
  <r>
    <n v="444"/>
    <s v="Kazio"/>
    <x v="0"/>
    <d v="2024-09-12T00:00:00"/>
    <x v="0"/>
    <n v="1124.1099999999999"/>
    <s v="At-Risk"/>
    <m/>
    <n v="14"/>
    <x v="1"/>
    <s v="MEA"/>
    <s v="EGY"/>
    <n v="24"/>
    <n v="26978.639999999999"/>
    <x v="1"/>
    <n v="13489.32"/>
  </r>
  <r>
    <n v="445"/>
    <s v="Twiyo"/>
    <x v="1"/>
    <d v="2024-06-08T00:00:00"/>
    <x v="0"/>
    <n v="5710.22"/>
    <s v="At-Risk"/>
    <d v="2026-07-20T00:00:00"/>
    <n v="11"/>
    <x v="2"/>
    <s v="EU"/>
    <s v="CENTRAL"/>
    <n v="27"/>
    <n v="154175.94"/>
    <x v="1"/>
    <n v="68522.64"/>
  </r>
  <r>
    <n v="446"/>
    <s v="Brainsphere"/>
    <x v="2"/>
    <d v="2024-05-01T00:00:00"/>
    <x v="2"/>
    <n v="970.19"/>
    <s v="Churned"/>
    <m/>
    <n v="1"/>
    <x v="4"/>
    <s v="NA"/>
    <s v="EAST"/>
    <n v="28"/>
    <n v="27165.32"/>
    <x v="0"/>
    <n v="0"/>
  </r>
  <r>
    <n v="447"/>
    <s v="Rhynyx"/>
    <x v="4"/>
    <d v="2024-07-19T00:00:00"/>
    <x v="2"/>
    <n v="5161.7299999999996"/>
    <s v="Churned"/>
    <d v="2026-08-19T00:00:00"/>
    <n v="18"/>
    <x v="1"/>
    <s v="MEA"/>
    <s v="EGY"/>
    <n v="25"/>
    <n v="129043.24999999999"/>
    <x v="0"/>
    <n v="0"/>
  </r>
  <r>
    <n v="448"/>
    <s v="Quinu"/>
    <x v="2"/>
    <d v="2025-04-20T00:00:00"/>
    <x v="2"/>
    <n v="1414.43"/>
    <s v="At-Risk"/>
    <d v="2025-12-07T00:00:00"/>
    <n v="15"/>
    <x v="1"/>
    <s v="MEA"/>
    <s v="EGY"/>
    <n v="17"/>
    <n v="24045.31"/>
    <x v="1"/>
    <n v="16973.16"/>
  </r>
  <r>
    <n v="449"/>
    <s v="Jaloo"/>
    <x v="1"/>
    <d v="2025-03-02T00:00:00"/>
    <x v="1"/>
    <n v="8713.9599999999991"/>
    <s v="At-Risk"/>
    <d v="2025-12-05T00:00:00"/>
    <n v="12"/>
    <x v="1"/>
    <s v="MEA"/>
    <s v="EGY"/>
    <n v="18"/>
    <n v="156851.27999999997"/>
    <x v="1"/>
    <n v="104567.51999999999"/>
  </r>
  <r>
    <n v="450"/>
    <s v="Flashpoint"/>
    <x v="4"/>
    <d v="2024-05-06T00:00:00"/>
    <x v="2"/>
    <n v="4609.8599999999997"/>
    <s v="Pending Renewal"/>
    <d v="2026-08-09T00:00:00"/>
    <n v="10"/>
    <x v="4"/>
    <s v="NA"/>
    <s v="EAST"/>
    <n v="28"/>
    <n v="129076.07999999999"/>
    <x v="2"/>
    <n v="0"/>
  </r>
  <r>
    <n v="451"/>
    <s v="Gigabox"/>
    <x v="3"/>
    <d v="2024-10-07T00:00:00"/>
    <x v="2"/>
    <n v="4774.55"/>
    <s v="Churned"/>
    <d v="2025-11-06T00:00:00"/>
    <n v="3"/>
    <x v="0"/>
    <s v="APAC"/>
    <s v="SGP"/>
    <n v="13"/>
    <n v="62069.15"/>
    <x v="0"/>
    <n v="0"/>
  </r>
  <r>
    <n v="452"/>
    <s v="Twinte"/>
    <x v="2"/>
    <d v="2024-11-04T00:00:00"/>
    <x v="0"/>
    <n v="11027.5"/>
    <s v="At-Risk"/>
    <d v="2026-02-21T00:00:00"/>
    <n v="2"/>
    <x v="3"/>
    <s v="NA"/>
    <s v="WEST"/>
    <n v="22"/>
    <n v="242605"/>
    <x v="0"/>
    <n v="0"/>
  </r>
  <r>
    <n v="453"/>
    <s v="Quatz"/>
    <x v="0"/>
    <d v="2024-03-02T00:00:00"/>
    <x v="0"/>
    <n v="4789.9399999999996"/>
    <s v="Active"/>
    <d v="2025-08-09T00:00:00"/>
    <n v="13"/>
    <x v="2"/>
    <s v="EU"/>
    <s v="CENTRAL"/>
    <n v="30"/>
    <n v="143698.19999999998"/>
    <x v="0"/>
    <n v="0"/>
  </r>
  <r>
    <n v="454"/>
    <s v="Yoveo"/>
    <x v="2"/>
    <d v="2024-06-29T00:00:00"/>
    <x v="1"/>
    <n v="10641.78"/>
    <s v="Active"/>
    <d v="2025-12-24T00:00:00"/>
    <n v="13"/>
    <x v="3"/>
    <s v="NA"/>
    <s v="WEST"/>
    <n v="27"/>
    <n v="287328.06"/>
    <x v="0"/>
    <n v="0"/>
  </r>
  <r>
    <n v="455"/>
    <s v="Photobug"/>
    <x v="0"/>
    <d v="2025-02-27T00:00:00"/>
    <x v="2"/>
    <n v="7159.61"/>
    <s v="At-Risk"/>
    <d v="2026-03-30T00:00:00"/>
    <n v="3"/>
    <x v="0"/>
    <s v="APAC"/>
    <s v="SGP"/>
    <n v="19"/>
    <n v="136032.59"/>
    <x v="0"/>
    <n v="0"/>
  </r>
  <r>
    <n v="456"/>
    <s v="Skivee"/>
    <x v="0"/>
    <d v="2024-07-30T00:00:00"/>
    <x v="1"/>
    <n v="8183.89"/>
    <s v="At-Risk"/>
    <d v="2025-07-11T00:00:00"/>
    <n v="3"/>
    <x v="0"/>
    <s v="APAC"/>
    <s v="SGP"/>
    <n v="26"/>
    <n v="212781.14"/>
    <x v="0"/>
    <n v="0"/>
  </r>
  <r>
    <n v="457"/>
    <s v="Tanoodle"/>
    <x v="1"/>
    <d v="2024-02-14T00:00:00"/>
    <x v="2"/>
    <n v="3087.54"/>
    <s v="Churned"/>
    <d v="2026-04-16T00:00:00"/>
    <n v="8"/>
    <x v="0"/>
    <s v="APAC"/>
    <s v="SGP"/>
    <n v="26"/>
    <n v="80276.039999999994"/>
    <x v="2"/>
    <n v="0"/>
  </r>
  <r>
    <n v="458"/>
    <s v="Zazio"/>
    <x v="4"/>
    <d v="2024-07-12T00:00:00"/>
    <x v="1"/>
    <n v="3182.96"/>
    <s v="Active"/>
    <m/>
    <n v="1"/>
    <x v="4"/>
    <s v="NA"/>
    <s v="EAST"/>
    <n v="26"/>
    <n v="82756.960000000006"/>
    <x v="0"/>
    <n v="0"/>
  </r>
  <r>
    <n v="459"/>
    <s v="Photojam"/>
    <x v="1"/>
    <d v="2025-02-08T00:00:00"/>
    <x v="1"/>
    <n v="12708.44"/>
    <s v="Churned"/>
    <d v="2025-07-21T00:00:00"/>
    <n v="17"/>
    <x v="0"/>
    <s v="APAC"/>
    <s v="SGP"/>
    <n v="5"/>
    <n v="63542.200000000004"/>
    <x v="0"/>
    <n v="0"/>
  </r>
  <r>
    <n v="460"/>
    <s v="Rhynyx"/>
    <x v="0"/>
    <d v="2024-05-06T00:00:00"/>
    <x v="1"/>
    <n v="8142.52"/>
    <s v="At-Risk"/>
    <m/>
    <n v="18"/>
    <x v="3"/>
    <s v="NA"/>
    <s v="WEST"/>
    <n v="28"/>
    <n v="227990.56"/>
    <x v="1"/>
    <n v="97710.24"/>
  </r>
  <r>
    <n v="461"/>
    <s v="Mydeo"/>
    <x v="4"/>
    <d v="2025-04-22T00:00:00"/>
    <x v="1"/>
    <n v="14294.14"/>
    <s v="At-Risk"/>
    <d v="2026-05-29T00:00:00"/>
    <n v="4"/>
    <x v="2"/>
    <s v="EU"/>
    <s v="CENTRAL"/>
    <n v="17"/>
    <n v="243000.38"/>
    <x v="0"/>
    <n v="0"/>
  </r>
  <r>
    <n v="462"/>
    <s v="Viva"/>
    <x v="2"/>
    <d v="2024-10-25T00:00:00"/>
    <x v="1"/>
    <n v="5954.66"/>
    <s v="Active"/>
    <d v="2025-12-23T00:00:00"/>
    <n v="9"/>
    <x v="2"/>
    <s v="EU"/>
    <s v="CENTRAL"/>
    <n v="23"/>
    <n v="136957.18"/>
    <x v="2"/>
    <n v="0"/>
  </r>
  <r>
    <n v="463"/>
    <s v="Skipfire"/>
    <x v="2"/>
    <d v="2025-02-24T00:00:00"/>
    <x v="1"/>
    <n v="737.07"/>
    <s v="Active"/>
    <d v="2025-09-14T00:00:00"/>
    <n v="3"/>
    <x v="0"/>
    <s v="APAC"/>
    <s v="SGP"/>
    <n v="19"/>
    <n v="14004.330000000002"/>
    <x v="0"/>
    <n v="0"/>
  </r>
  <r>
    <n v="464"/>
    <s v="Photolist"/>
    <x v="3"/>
    <d v="2024-03-06T00:00:00"/>
    <x v="2"/>
    <n v="2447.2399999999998"/>
    <s v="Churned"/>
    <d v="2025-08-03T00:00:00"/>
    <n v="2"/>
    <x v="3"/>
    <s v="NA"/>
    <s v="WEST"/>
    <n v="17"/>
    <n v="41603.079999999994"/>
    <x v="0"/>
    <n v="0"/>
  </r>
  <r>
    <n v="465"/>
    <s v="Thoughtblab"/>
    <x v="1"/>
    <d v="2025-01-23T00:00:00"/>
    <x v="1"/>
    <n v="3506.39"/>
    <s v="Pending Renewal"/>
    <d v="2026-01-16T00:00:00"/>
    <n v="6"/>
    <x v="0"/>
    <s v="APAC"/>
    <s v="SGP"/>
    <n v="20"/>
    <n v="70127.8"/>
    <x v="2"/>
    <n v="0"/>
  </r>
  <r>
    <n v="466"/>
    <s v="Roomm"/>
    <x v="0"/>
    <d v="2024-07-11T00:00:00"/>
    <x v="2"/>
    <n v="8078.71"/>
    <s v="At-Risk"/>
    <m/>
    <n v="2"/>
    <x v="1"/>
    <s v="MEA"/>
    <s v="EGY"/>
    <n v="26"/>
    <n v="210046.46"/>
    <x v="0"/>
    <n v="0"/>
  </r>
  <r>
    <n v="467"/>
    <s v="Rhynyx"/>
    <x v="2"/>
    <d v="2025-01-30T00:00:00"/>
    <x v="1"/>
    <n v="4475.79"/>
    <s v="Churned"/>
    <d v="2025-08-03T00:00:00"/>
    <n v="11"/>
    <x v="0"/>
    <s v="APAC"/>
    <s v="SGP"/>
    <n v="7"/>
    <n v="31330.53"/>
    <x v="0"/>
    <n v="0"/>
  </r>
  <r>
    <n v="468"/>
    <s v="Zoomzone"/>
    <x v="3"/>
    <d v="2024-05-06T00:00:00"/>
    <x v="1"/>
    <n v="3560.76"/>
    <s v="At-Risk"/>
    <d v="2026-08-13T00:00:00"/>
    <n v="2"/>
    <x v="4"/>
    <s v="NA"/>
    <s v="EAST"/>
    <n v="28"/>
    <n v="99701.28"/>
    <x v="0"/>
    <n v="0"/>
  </r>
  <r>
    <n v="469"/>
    <s v="Voonix"/>
    <x v="2"/>
    <d v="2024-08-04T00:00:00"/>
    <x v="1"/>
    <n v="8323.24"/>
    <s v="Pending Renewal"/>
    <d v="2026-02-27T00:00:00"/>
    <n v="12"/>
    <x v="3"/>
    <s v="NA"/>
    <s v="WEST"/>
    <n v="25"/>
    <n v="208081"/>
    <x v="2"/>
    <n v="0"/>
  </r>
  <r>
    <n v="470"/>
    <s v="Flashset"/>
    <x v="2"/>
    <d v="2025-03-06T00:00:00"/>
    <x v="0"/>
    <n v="3540.07"/>
    <s v="At-Risk"/>
    <d v="2025-12-05T00:00:00"/>
    <n v="16"/>
    <x v="0"/>
    <s v="APAC"/>
    <s v="SGP"/>
    <n v="18"/>
    <n v="63721.26"/>
    <x v="1"/>
    <n v="42480.840000000004"/>
  </r>
  <r>
    <n v="471"/>
    <s v="Chatterpoint"/>
    <x v="0"/>
    <d v="2024-01-05T00:00:00"/>
    <x v="0"/>
    <n v="4524.8"/>
    <s v="Churned"/>
    <d v="2026-05-16T00:00:00"/>
    <n v="17"/>
    <x v="3"/>
    <s v="NA"/>
    <s v="WEST"/>
    <n v="28"/>
    <n v="126694.40000000001"/>
    <x v="0"/>
    <n v="0"/>
  </r>
  <r>
    <n v="472"/>
    <s v="Centidel"/>
    <x v="3"/>
    <d v="2025-03-14T00:00:00"/>
    <x v="0"/>
    <n v="13875.44"/>
    <s v="At-Risk"/>
    <d v="2025-10-02T00:00:00"/>
    <n v="12"/>
    <x v="0"/>
    <s v="APAC"/>
    <s v="SGP"/>
    <n v="18"/>
    <n v="249757.92"/>
    <x v="1"/>
    <n v="166505.28"/>
  </r>
  <r>
    <n v="473"/>
    <s v="Avaveo"/>
    <x v="2"/>
    <d v="2024-06-17T00:00:00"/>
    <x v="2"/>
    <n v="7896.9"/>
    <s v="Pending Renewal"/>
    <d v="2025-11-01T00:00:00"/>
    <n v="9"/>
    <x v="4"/>
    <s v="NA"/>
    <s v="EAST"/>
    <n v="27"/>
    <n v="213216.3"/>
    <x v="2"/>
    <n v="0"/>
  </r>
  <r>
    <n v="474"/>
    <s v="Wikivu"/>
    <x v="1"/>
    <d v="2024-03-07T00:00:00"/>
    <x v="0"/>
    <n v="4958.6499999999996"/>
    <s v="Active"/>
    <m/>
    <n v="6"/>
    <x v="2"/>
    <s v="EU"/>
    <s v="CENTRAL"/>
    <n v="30"/>
    <n v="148759.5"/>
    <x v="2"/>
    <n v="0"/>
  </r>
  <r>
    <n v="475"/>
    <s v="Camimbo"/>
    <x v="4"/>
    <d v="2025-05-06T00:00:00"/>
    <x v="1"/>
    <n v="3131.69"/>
    <s v="At-Risk"/>
    <m/>
    <n v="4"/>
    <x v="0"/>
    <s v="APAC"/>
    <s v="SGP"/>
    <n v="16"/>
    <n v="50107.040000000001"/>
    <x v="0"/>
    <n v="0"/>
  </r>
  <r>
    <n v="476"/>
    <s v="Dynazzy"/>
    <x v="2"/>
    <d v="2024-01-28T00:00:00"/>
    <x v="2"/>
    <n v="14139.56"/>
    <s v="At-Risk"/>
    <d v="2025-12-26T00:00:00"/>
    <n v="8"/>
    <x v="2"/>
    <s v="EU"/>
    <s v="CENTRAL"/>
    <n v="32"/>
    <n v="452465.91999999998"/>
    <x v="2"/>
    <n v="0"/>
  </r>
  <r>
    <n v="477"/>
    <s v="Tekfly"/>
    <x v="1"/>
    <d v="2025-06-25T00:00:00"/>
    <x v="2"/>
    <n v="11049.58"/>
    <s v="Churned"/>
    <d v="2026-06-01T00:00:00"/>
    <n v="18"/>
    <x v="2"/>
    <s v="EU"/>
    <s v="CENTRAL"/>
    <n v="12"/>
    <n v="132594.96"/>
    <x v="0"/>
    <n v="0"/>
  </r>
  <r>
    <n v="478"/>
    <s v="Janyx"/>
    <x v="3"/>
    <d v="2024-08-27T00:00:00"/>
    <x v="0"/>
    <n v="1957.13"/>
    <s v="Active"/>
    <d v="2026-07-24T00:00:00"/>
    <n v="1"/>
    <x v="2"/>
    <s v="EU"/>
    <s v="CENTRAL"/>
    <n v="25"/>
    <n v="48928.25"/>
    <x v="0"/>
    <n v="0"/>
  </r>
  <r>
    <n v="479"/>
    <s v="Quatz"/>
    <x v="2"/>
    <d v="2024-12-04T00:00:00"/>
    <x v="1"/>
    <n v="6908.7"/>
    <s v="Churned"/>
    <d v="2025-12-04T00:00:00"/>
    <n v="1"/>
    <x v="1"/>
    <s v="MEA"/>
    <s v="EGY"/>
    <n v="12"/>
    <n v="82904.399999999994"/>
    <x v="0"/>
    <n v="0"/>
  </r>
  <r>
    <n v="480"/>
    <s v="Livepath"/>
    <x v="1"/>
    <d v="2024-07-15T00:00:00"/>
    <x v="2"/>
    <n v="3618.41"/>
    <s v="Active"/>
    <d v="2026-02-11T00:00:00"/>
    <n v="9"/>
    <x v="3"/>
    <s v="NA"/>
    <s v="WEST"/>
    <n v="26"/>
    <n v="94078.66"/>
    <x v="2"/>
    <n v="0"/>
  </r>
  <r>
    <n v="481"/>
    <s v="Thoughtsphere"/>
    <x v="1"/>
    <d v="2024-01-08T00:00:00"/>
    <x v="1"/>
    <n v="5801.16"/>
    <s v="Active"/>
    <d v="2025-10-02T00:00:00"/>
    <n v="3"/>
    <x v="2"/>
    <s v="EU"/>
    <s v="CENTRAL"/>
    <n v="32"/>
    <n v="185637.12"/>
    <x v="0"/>
    <n v="0"/>
  </r>
  <r>
    <n v="482"/>
    <s v="Podcat"/>
    <x v="2"/>
    <d v="2024-10-07T00:00:00"/>
    <x v="1"/>
    <n v="721.84"/>
    <s v="Pending Renewal"/>
    <d v="2025-10-07T00:00:00"/>
    <n v="2"/>
    <x v="0"/>
    <s v="APAC"/>
    <s v="SGP"/>
    <n v="23"/>
    <n v="16602.32"/>
    <x v="2"/>
    <n v="0"/>
  </r>
  <r>
    <n v="483"/>
    <s v="Voonte"/>
    <x v="4"/>
    <d v="2024-06-15T00:00:00"/>
    <x v="0"/>
    <n v="6915.61"/>
    <s v="Pending Renewal"/>
    <d v="2026-08-17T00:00:00"/>
    <n v="14"/>
    <x v="0"/>
    <s v="APAC"/>
    <s v="SGP"/>
    <n v="27"/>
    <n v="186721.47"/>
    <x v="2"/>
    <n v="0"/>
  </r>
  <r>
    <n v="484"/>
    <s v="Jabbercube"/>
    <x v="1"/>
    <d v="2024-12-27T00:00:00"/>
    <x v="0"/>
    <n v="1435.19"/>
    <s v="Active"/>
    <d v="2026-07-16T00:00:00"/>
    <n v="2"/>
    <x v="1"/>
    <s v="MEA"/>
    <s v="EGY"/>
    <n v="21"/>
    <n v="30138.99"/>
    <x v="0"/>
    <n v="0"/>
  </r>
  <r>
    <n v="485"/>
    <s v="Talane"/>
    <x v="3"/>
    <d v="2024-07-13T00:00:00"/>
    <x v="0"/>
    <n v="7588.25"/>
    <s v="Pending Renewal"/>
    <d v="2025-10-15T00:00:00"/>
    <n v="11"/>
    <x v="1"/>
    <s v="MEA"/>
    <s v="EGY"/>
    <n v="26"/>
    <n v="197294.5"/>
    <x v="2"/>
    <n v="0"/>
  </r>
  <r>
    <n v="486"/>
    <s v="Youopia"/>
    <x v="4"/>
    <d v="2025-01-21T00:00:00"/>
    <x v="1"/>
    <n v="11040.42"/>
    <s v="Churned"/>
    <d v="2025-07-14T00:00:00"/>
    <n v="17"/>
    <x v="2"/>
    <s v="EU"/>
    <s v="CENTRAL"/>
    <n v="6"/>
    <n v="66242.52"/>
    <x v="0"/>
    <n v="0"/>
  </r>
  <r>
    <n v="487"/>
    <s v="Dablist"/>
    <x v="3"/>
    <d v="2025-05-23T00:00:00"/>
    <x v="0"/>
    <n v="12914.69"/>
    <s v="At-Risk"/>
    <d v="2026-04-18T00:00:00"/>
    <n v="15"/>
    <x v="0"/>
    <s v="APAC"/>
    <s v="SGP"/>
    <n v="16"/>
    <n v="206635.04"/>
    <x v="1"/>
    <n v="154976.28"/>
  </r>
  <r>
    <n v="488"/>
    <s v="Flashdog"/>
    <x v="2"/>
    <d v="2024-06-21T00:00:00"/>
    <x v="1"/>
    <n v="1272.54"/>
    <s v="At-Risk"/>
    <d v="2025-10-06T00:00:00"/>
    <n v="4"/>
    <x v="1"/>
    <s v="MEA"/>
    <s v="EGY"/>
    <n v="27"/>
    <n v="34358.58"/>
    <x v="0"/>
    <n v="0"/>
  </r>
  <r>
    <n v="489"/>
    <s v="Kazu"/>
    <x v="3"/>
    <d v="2024-09-25T00:00:00"/>
    <x v="0"/>
    <n v="14941.07"/>
    <s v="Pending Renewal"/>
    <m/>
    <n v="3"/>
    <x v="1"/>
    <s v="MEA"/>
    <s v="EGY"/>
    <n v="24"/>
    <n v="358585.68"/>
    <x v="2"/>
    <n v="0"/>
  </r>
  <r>
    <n v="490"/>
    <s v="Edgeblab"/>
    <x v="3"/>
    <d v="2024-10-07T00:00:00"/>
    <x v="0"/>
    <n v="10155.84"/>
    <s v="Active"/>
    <m/>
    <n v="4"/>
    <x v="3"/>
    <s v="NA"/>
    <s v="WEST"/>
    <n v="23"/>
    <n v="233584.32"/>
    <x v="0"/>
    <n v="0"/>
  </r>
  <r>
    <n v="491"/>
    <s v="Buzzster"/>
    <x v="3"/>
    <d v="2024-10-23T00:00:00"/>
    <x v="0"/>
    <n v="4447.33"/>
    <s v="At-Risk"/>
    <d v="2025-07-02T00:00:00"/>
    <n v="6"/>
    <x v="2"/>
    <s v="EU"/>
    <s v="CENTRAL"/>
    <n v="23"/>
    <n v="102288.59"/>
    <x v="2"/>
    <n v="0"/>
  </r>
  <r>
    <n v="492"/>
    <s v="Photospace"/>
    <x v="2"/>
    <d v="2025-05-22T00:00:00"/>
    <x v="1"/>
    <n v="5947.56"/>
    <s v="Pending Renewal"/>
    <d v="2025-11-05T00:00:00"/>
    <n v="9"/>
    <x v="3"/>
    <s v="NA"/>
    <s v="WEST"/>
    <n v="16"/>
    <n v="95160.960000000006"/>
    <x v="2"/>
    <n v="0"/>
  </r>
  <r>
    <n v="493"/>
    <s v="Rhyloo"/>
    <x v="2"/>
    <d v="2024-12-26T00:00:00"/>
    <x v="2"/>
    <n v="7636.86"/>
    <s v="Active"/>
    <d v="2026-05-18T00:00:00"/>
    <n v="2"/>
    <x v="3"/>
    <s v="NA"/>
    <s v="WEST"/>
    <n v="21"/>
    <n v="160374.06"/>
    <x v="0"/>
    <n v="0"/>
  </r>
  <r>
    <n v="494"/>
    <s v="Dynava"/>
    <x v="2"/>
    <d v="2024-02-17T00:00:00"/>
    <x v="2"/>
    <n v="9906.06"/>
    <s v="Active"/>
    <m/>
    <n v="6"/>
    <x v="4"/>
    <s v="NA"/>
    <s v="EAST"/>
    <n v="31"/>
    <n v="307087.86"/>
    <x v="2"/>
    <n v="0"/>
  </r>
  <r>
    <n v="495"/>
    <s v="Jayo"/>
    <x v="1"/>
    <d v="2025-01-20T00:00:00"/>
    <x v="1"/>
    <n v="10215.19"/>
    <s v="At-Risk"/>
    <d v="2025-09-05T00:00:00"/>
    <n v="17"/>
    <x v="4"/>
    <s v="NA"/>
    <s v="EAST"/>
    <n v="20"/>
    <n v="204303.80000000002"/>
    <x v="1"/>
    <n v="122582.28"/>
  </r>
  <r>
    <n v="496"/>
    <s v="Vidoo"/>
    <x v="1"/>
    <d v="2025-03-31T00:00:00"/>
    <x v="1"/>
    <n v="5056.79"/>
    <s v="Churned"/>
    <d v="2026-01-15T00:00:00"/>
    <n v="10"/>
    <x v="4"/>
    <s v="NA"/>
    <s v="EAST"/>
    <n v="10"/>
    <n v="50567.9"/>
    <x v="2"/>
    <n v="0"/>
  </r>
  <r>
    <n v="497"/>
    <s v="Shufflebeat"/>
    <x v="2"/>
    <d v="2024-10-14T00:00:00"/>
    <x v="0"/>
    <n v="13410.79"/>
    <s v="Churned"/>
    <m/>
    <n v="15"/>
    <x v="4"/>
    <s v="NA"/>
    <s v="EAST"/>
    <n v="23"/>
    <n v="308448.17000000004"/>
    <x v="0"/>
    <n v="0"/>
  </r>
  <r>
    <n v="498"/>
    <s v="Realblab"/>
    <x v="1"/>
    <d v="2024-07-27T00:00:00"/>
    <x v="1"/>
    <n v="918.73"/>
    <s v="Pending Renewal"/>
    <m/>
    <n v="12"/>
    <x v="3"/>
    <s v="NA"/>
    <s v="WEST"/>
    <n v="26"/>
    <n v="23886.98"/>
    <x v="2"/>
    <n v="0"/>
  </r>
  <r>
    <n v="499"/>
    <s v="Tagtune"/>
    <x v="1"/>
    <d v="2024-02-24T00:00:00"/>
    <x v="1"/>
    <n v="7408.36"/>
    <s v="Pending Renewal"/>
    <d v="2026-04-07T00:00:00"/>
    <n v="15"/>
    <x v="4"/>
    <s v="NA"/>
    <s v="EAST"/>
    <n v="31"/>
    <n v="229659.16"/>
    <x v="2"/>
    <n v="0"/>
  </r>
  <r>
    <n v="500"/>
    <s v="Jaxspan"/>
    <x v="0"/>
    <d v="2025-04-05T00:00:00"/>
    <x v="2"/>
    <n v="11662.95"/>
    <s v="Pending Renewal"/>
    <d v="2025-09-15T00:00:00"/>
    <n v="15"/>
    <x v="3"/>
    <s v="NA"/>
    <s v="WEST"/>
    <n v="17"/>
    <n v="198270.15000000002"/>
    <x v="2"/>
    <n v="0"/>
  </r>
  <r>
    <n v="501"/>
    <s v="Kanoodle"/>
    <x v="4"/>
    <d v="2024-01-01T00:00:00"/>
    <x v="0"/>
    <n v="7029.35"/>
    <s v="At-Risk"/>
    <d v="2026-07-02T00:00:00"/>
    <n v="6"/>
    <x v="3"/>
    <s v="NA"/>
    <s v="WEST"/>
    <n v="32"/>
    <n v="224939.2"/>
    <x v="2"/>
    <n v="0"/>
  </r>
  <r>
    <n v="502"/>
    <s v="Thoughtsphere"/>
    <x v="0"/>
    <d v="2024-08-08T00:00:00"/>
    <x v="1"/>
    <n v="6129.95"/>
    <s v="Active"/>
    <d v="2026-08-03T00:00:00"/>
    <n v="9"/>
    <x v="3"/>
    <s v="NA"/>
    <s v="WEST"/>
    <n v="25"/>
    <n v="153248.75"/>
    <x v="2"/>
    <n v="0"/>
  </r>
  <r>
    <n v="503"/>
    <s v="Zoovu"/>
    <x v="1"/>
    <d v="2024-08-06T00:00:00"/>
    <x v="0"/>
    <n v="1133.5"/>
    <s v="Active"/>
    <d v="2026-05-20T00:00:00"/>
    <n v="2"/>
    <x v="3"/>
    <s v="NA"/>
    <s v="WEST"/>
    <n v="25"/>
    <n v="28337.5"/>
    <x v="0"/>
    <n v="0"/>
  </r>
  <r>
    <n v="504"/>
    <s v="Oba"/>
    <x v="3"/>
    <d v="2024-05-01T00:00:00"/>
    <x v="1"/>
    <n v="7941.58"/>
    <s v="Active"/>
    <d v="2026-04-08T00:00:00"/>
    <n v="6"/>
    <x v="3"/>
    <s v="NA"/>
    <s v="WEST"/>
    <n v="28"/>
    <n v="222364.24"/>
    <x v="2"/>
    <n v="0"/>
  </r>
  <r>
    <n v="505"/>
    <s v="Lajo"/>
    <x v="0"/>
    <d v="2025-02-23T00:00:00"/>
    <x v="1"/>
    <n v="7605.08"/>
    <s v="At-Risk"/>
    <d v="2025-10-07T00:00:00"/>
    <n v="18"/>
    <x v="0"/>
    <s v="APAC"/>
    <s v="SGP"/>
    <n v="19"/>
    <n v="144496.51999999999"/>
    <x v="1"/>
    <n v="91260.959999999992"/>
  </r>
  <r>
    <n v="506"/>
    <s v="Avamba"/>
    <x v="2"/>
    <d v="2025-01-17T00:00:00"/>
    <x v="1"/>
    <n v="9358.9699999999993"/>
    <s v="Churned"/>
    <d v="2026-01-17T00:00:00"/>
    <n v="3"/>
    <x v="0"/>
    <s v="APAC"/>
    <s v="SGP"/>
    <n v="12"/>
    <n v="112307.63999999998"/>
    <x v="0"/>
    <n v="0"/>
  </r>
  <r>
    <n v="507"/>
    <s v="Kaymbo"/>
    <x v="1"/>
    <d v="2024-09-18T00:00:00"/>
    <x v="2"/>
    <n v="4707.91"/>
    <s v="Pending Renewal"/>
    <d v="2025-09-08T00:00:00"/>
    <n v="3"/>
    <x v="4"/>
    <s v="NA"/>
    <s v="EAST"/>
    <n v="24"/>
    <n v="112989.84"/>
    <x v="2"/>
    <n v="0"/>
  </r>
  <r>
    <n v="508"/>
    <s v="Omba"/>
    <x v="2"/>
    <d v="2024-12-15T00:00:00"/>
    <x v="2"/>
    <n v="1583.82"/>
    <s v="Pending Renewal"/>
    <d v="2026-08-08T00:00:00"/>
    <n v="13"/>
    <x v="0"/>
    <s v="APAC"/>
    <s v="SGP"/>
    <n v="21"/>
    <n v="33260.22"/>
    <x v="2"/>
    <n v="0"/>
  </r>
  <r>
    <n v="509"/>
    <s v="Voonix"/>
    <x v="4"/>
    <d v="2024-08-29T00:00:00"/>
    <x v="1"/>
    <n v="4766.78"/>
    <s v="Active"/>
    <d v="2025-10-24T00:00:00"/>
    <n v="3"/>
    <x v="1"/>
    <s v="MEA"/>
    <s v="EGY"/>
    <n v="25"/>
    <n v="119169.5"/>
    <x v="0"/>
    <n v="0"/>
  </r>
  <r>
    <n v="510"/>
    <s v="Mybuzz"/>
    <x v="2"/>
    <d v="2025-05-23T00:00:00"/>
    <x v="1"/>
    <n v="3918.96"/>
    <s v="At-Risk"/>
    <d v="2026-08-04T00:00:00"/>
    <n v="8"/>
    <x v="0"/>
    <s v="APAC"/>
    <s v="SGP"/>
    <n v="16"/>
    <n v="62703.360000000001"/>
    <x v="2"/>
    <n v="0"/>
  </r>
  <r>
    <n v="511"/>
    <s v="Miboo"/>
    <x v="2"/>
    <d v="2024-04-15T00:00:00"/>
    <x v="0"/>
    <n v="7429.84"/>
    <s v="Churned"/>
    <d v="2025-07-17T00:00:00"/>
    <n v="11"/>
    <x v="0"/>
    <s v="APAC"/>
    <s v="SGP"/>
    <n v="15"/>
    <n v="111447.6"/>
    <x v="0"/>
    <n v="0"/>
  </r>
  <r>
    <n v="512"/>
    <s v="Kwimbee"/>
    <x v="2"/>
    <d v="2024-12-12T00:00:00"/>
    <x v="1"/>
    <n v="10413.27"/>
    <s v="At-Risk"/>
    <d v="2026-02-14T00:00:00"/>
    <n v="12"/>
    <x v="0"/>
    <s v="APAC"/>
    <s v="SGP"/>
    <n v="21"/>
    <n v="218678.67"/>
    <x v="1"/>
    <n v="124959.24"/>
  </r>
  <r>
    <n v="513"/>
    <s v="Wikibox"/>
    <x v="2"/>
    <d v="2024-01-13T00:00:00"/>
    <x v="0"/>
    <n v="10071.51"/>
    <s v="Active"/>
    <d v="2025-12-16T00:00:00"/>
    <n v="12"/>
    <x v="1"/>
    <s v="MEA"/>
    <s v="EGY"/>
    <n v="32"/>
    <n v="322288.32"/>
    <x v="0"/>
    <n v="0"/>
  </r>
  <r>
    <n v="514"/>
    <s v="Tagtune"/>
    <x v="0"/>
    <d v="2025-06-21T00:00:00"/>
    <x v="0"/>
    <n v="5257.59"/>
    <s v="Pending Renewal"/>
    <d v="2025-08-03T00:00:00"/>
    <n v="6"/>
    <x v="3"/>
    <s v="NA"/>
    <s v="WEST"/>
    <n v="15"/>
    <n v="78863.850000000006"/>
    <x v="2"/>
    <n v="0"/>
  </r>
  <r>
    <n v="515"/>
    <s v="Jabbercube"/>
    <x v="3"/>
    <d v="2024-02-04T00:00:00"/>
    <x v="0"/>
    <n v="8658.85"/>
    <s v="At-Risk"/>
    <d v="2025-10-12T00:00:00"/>
    <n v="8"/>
    <x v="0"/>
    <s v="APAC"/>
    <s v="SGP"/>
    <n v="31"/>
    <n v="268424.35000000003"/>
    <x v="2"/>
    <n v="0"/>
  </r>
  <r>
    <n v="516"/>
    <s v="Gabtype"/>
    <x v="4"/>
    <d v="2025-05-05T00:00:00"/>
    <x v="0"/>
    <n v="11744.14"/>
    <s v="Pending Renewal"/>
    <d v="2026-06-16T00:00:00"/>
    <n v="16"/>
    <x v="1"/>
    <s v="MEA"/>
    <s v="EGY"/>
    <n v="16"/>
    <n v="187906.24"/>
    <x v="2"/>
    <n v="0"/>
  </r>
  <r>
    <n v="517"/>
    <s v="Realmix"/>
    <x v="0"/>
    <d v="2025-03-22T00:00:00"/>
    <x v="2"/>
    <n v="1720.52"/>
    <s v="Churned"/>
    <d v="2026-04-29T00:00:00"/>
    <n v="14"/>
    <x v="0"/>
    <s v="APAC"/>
    <s v="SGP"/>
    <n v="13"/>
    <n v="22366.76"/>
    <x v="0"/>
    <n v="0"/>
  </r>
  <r>
    <n v="518"/>
    <s v="Yotz"/>
    <x v="3"/>
    <d v="2024-08-26T00:00:00"/>
    <x v="2"/>
    <n v="8532.76"/>
    <s v="Active"/>
    <d v="2025-08-27T00:00:00"/>
    <n v="3"/>
    <x v="1"/>
    <s v="MEA"/>
    <s v="EGY"/>
    <n v="25"/>
    <n v="213319"/>
    <x v="0"/>
    <n v="0"/>
  </r>
  <r>
    <n v="519"/>
    <s v="Fiveclub"/>
    <x v="4"/>
    <d v="2025-06-05T00:00:00"/>
    <x v="0"/>
    <n v="8618.7900000000009"/>
    <s v="Pending Renewal"/>
    <d v="2026-05-24T00:00:00"/>
    <n v="3"/>
    <x v="2"/>
    <s v="EU"/>
    <s v="CENTRAL"/>
    <n v="15"/>
    <n v="129281.85"/>
    <x v="2"/>
    <n v="0"/>
  </r>
  <r>
    <n v="520"/>
    <s v="Thoughtblab"/>
    <x v="3"/>
    <d v="2024-07-13T00:00:00"/>
    <x v="1"/>
    <n v="3196.65"/>
    <s v="Churned"/>
    <d v="2025-12-20T00:00:00"/>
    <n v="0"/>
    <x v="0"/>
    <s v="APAC"/>
    <s v="SGP"/>
    <n v="17"/>
    <n v="54343.05"/>
    <x v="0"/>
    <n v="0"/>
  </r>
  <r>
    <n v="521"/>
    <s v="Gabspot"/>
    <x v="4"/>
    <d v="2024-02-07T00:00:00"/>
    <x v="1"/>
    <n v="1222.1300000000001"/>
    <s v="Pending Renewal"/>
    <d v="2026-04-01T00:00:00"/>
    <n v="10"/>
    <x v="0"/>
    <s v="APAC"/>
    <s v="SGP"/>
    <n v="31"/>
    <n v="37886.030000000006"/>
    <x v="2"/>
    <n v="0"/>
  </r>
  <r>
    <n v="522"/>
    <s v="Jayo"/>
    <x v="2"/>
    <d v="2024-10-26T00:00:00"/>
    <x v="1"/>
    <n v="6834.37"/>
    <s v="Pending Renewal"/>
    <d v="2026-05-13T00:00:00"/>
    <n v="18"/>
    <x v="1"/>
    <s v="MEA"/>
    <s v="EGY"/>
    <n v="23"/>
    <n v="157190.51"/>
    <x v="2"/>
    <n v="0"/>
  </r>
  <r>
    <n v="523"/>
    <s v="Skyba"/>
    <x v="4"/>
    <d v="2024-11-19T00:00:00"/>
    <x v="1"/>
    <n v="11552.18"/>
    <s v="Churned"/>
    <d v="2026-05-25T00:00:00"/>
    <n v="4"/>
    <x v="1"/>
    <s v="MEA"/>
    <s v="EGY"/>
    <n v="18"/>
    <n v="207939.24"/>
    <x v="0"/>
    <n v="0"/>
  </r>
  <r>
    <n v="524"/>
    <s v="Thoughtmix"/>
    <x v="0"/>
    <d v="2025-01-16T00:00:00"/>
    <x v="1"/>
    <n v="8580.1200000000008"/>
    <s v="Active"/>
    <d v="2026-03-31T00:00:00"/>
    <n v="16"/>
    <x v="4"/>
    <s v="NA"/>
    <s v="EAST"/>
    <n v="20"/>
    <n v="171602.40000000002"/>
    <x v="0"/>
    <n v="0"/>
  </r>
  <r>
    <n v="525"/>
    <s v="Photofeed"/>
    <x v="2"/>
    <d v="2025-05-15T00:00:00"/>
    <x v="0"/>
    <n v="9187.2800000000007"/>
    <s v="At-Risk"/>
    <d v="2025-07-12T00:00:00"/>
    <n v="4"/>
    <x v="4"/>
    <s v="NA"/>
    <s v="EAST"/>
    <n v="16"/>
    <n v="146996.48000000001"/>
    <x v="0"/>
    <n v="0"/>
  </r>
  <r>
    <n v="526"/>
    <s v="Geba"/>
    <x v="3"/>
    <d v="2024-07-31T00:00:00"/>
    <x v="0"/>
    <n v="6568.59"/>
    <s v="At-Risk"/>
    <d v="2026-02-03T00:00:00"/>
    <n v="11"/>
    <x v="2"/>
    <s v="EU"/>
    <s v="CENTRAL"/>
    <n v="26"/>
    <n v="170783.34"/>
    <x v="1"/>
    <n v="78823.08"/>
  </r>
  <r>
    <n v="527"/>
    <s v="Trudeo"/>
    <x v="0"/>
    <d v="2024-02-14T00:00:00"/>
    <x v="2"/>
    <n v="1605.9"/>
    <s v="Active"/>
    <d v="2026-08-01T00:00:00"/>
    <n v="3"/>
    <x v="1"/>
    <s v="MEA"/>
    <s v="EGY"/>
    <n v="31"/>
    <n v="49782.9"/>
    <x v="0"/>
    <n v="0"/>
  </r>
  <r>
    <n v="528"/>
    <s v="Gabvine"/>
    <x v="0"/>
    <d v="2024-07-23T00:00:00"/>
    <x v="1"/>
    <n v="1922.3"/>
    <s v="At-Risk"/>
    <d v="2025-11-12T00:00:00"/>
    <n v="16"/>
    <x v="0"/>
    <s v="APAC"/>
    <s v="SGP"/>
    <n v="26"/>
    <n v="49979.799999999996"/>
    <x v="1"/>
    <n v="23067.599999999999"/>
  </r>
  <r>
    <n v="529"/>
    <s v="Kazio"/>
    <x v="1"/>
    <d v="2024-06-18T00:00:00"/>
    <x v="2"/>
    <n v="14955.52"/>
    <s v="Pending Renewal"/>
    <d v="2026-05-17T00:00:00"/>
    <n v="9"/>
    <x v="4"/>
    <s v="NA"/>
    <s v="EAST"/>
    <n v="27"/>
    <n v="403799.04000000004"/>
    <x v="2"/>
    <n v="0"/>
  </r>
  <r>
    <n v="530"/>
    <s v="Brightbean"/>
    <x v="2"/>
    <d v="2025-01-03T00:00:00"/>
    <x v="1"/>
    <n v="734.66"/>
    <s v="Pending Renewal"/>
    <d v="2025-11-28T00:00:00"/>
    <n v="7"/>
    <x v="2"/>
    <s v="EU"/>
    <s v="CENTRAL"/>
    <n v="20"/>
    <n v="14693.199999999999"/>
    <x v="2"/>
    <n v="0"/>
  </r>
  <r>
    <n v="531"/>
    <s v="Trilith"/>
    <x v="0"/>
    <d v="2024-03-28T00:00:00"/>
    <x v="0"/>
    <n v="11632.1"/>
    <s v="At-Risk"/>
    <d v="2025-12-03T00:00:00"/>
    <n v="18"/>
    <x v="0"/>
    <s v="APAC"/>
    <s v="SGP"/>
    <n v="30"/>
    <n v="348963"/>
    <x v="1"/>
    <n v="139585.20000000001"/>
  </r>
  <r>
    <n v="532"/>
    <s v="Feednation"/>
    <x v="0"/>
    <d v="2024-02-16T00:00:00"/>
    <x v="2"/>
    <n v="14544.72"/>
    <s v="Pending Renewal"/>
    <d v="2025-11-30T00:00:00"/>
    <n v="10"/>
    <x v="2"/>
    <s v="EU"/>
    <s v="CENTRAL"/>
    <n v="31"/>
    <n v="450886.32"/>
    <x v="2"/>
    <n v="0"/>
  </r>
  <r>
    <n v="533"/>
    <s v="Skippad"/>
    <x v="1"/>
    <d v="2024-06-13T00:00:00"/>
    <x v="1"/>
    <n v="7924.62"/>
    <s v="Active"/>
    <d v="2026-01-21T00:00:00"/>
    <n v="12"/>
    <x v="1"/>
    <s v="MEA"/>
    <s v="EGY"/>
    <n v="27"/>
    <n v="213964.74"/>
    <x v="0"/>
    <n v="0"/>
  </r>
  <r>
    <n v="534"/>
    <s v="Oyonder"/>
    <x v="1"/>
    <d v="2024-06-02T00:00:00"/>
    <x v="2"/>
    <n v="14972.82"/>
    <s v="Churned"/>
    <d v="2026-05-04T00:00:00"/>
    <n v="8"/>
    <x v="1"/>
    <s v="MEA"/>
    <s v="EGY"/>
    <n v="23"/>
    <n v="344374.86"/>
    <x v="2"/>
    <n v="0"/>
  </r>
  <r>
    <n v="535"/>
    <s v="Browsebug"/>
    <x v="0"/>
    <d v="2025-06-17T00:00:00"/>
    <x v="1"/>
    <n v="8293.6200000000008"/>
    <s v="Active"/>
    <d v="2025-10-19T00:00:00"/>
    <n v="9"/>
    <x v="0"/>
    <s v="APAC"/>
    <s v="SGP"/>
    <n v="15"/>
    <n v="124404.30000000002"/>
    <x v="2"/>
    <n v="0"/>
  </r>
  <r>
    <n v="536"/>
    <s v="Muxo"/>
    <x v="2"/>
    <d v="2024-10-22T00:00:00"/>
    <x v="2"/>
    <n v="11466.77"/>
    <s v="Active"/>
    <d v="2025-07-10T00:00:00"/>
    <n v="12"/>
    <x v="2"/>
    <s v="EU"/>
    <s v="CENTRAL"/>
    <n v="23"/>
    <n v="263735.71000000002"/>
    <x v="0"/>
    <n v="0"/>
  </r>
  <r>
    <n v="537"/>
    <s v="Voonix"/>
    <x v="2"/>
    <d v="2025-05-07T00:00:00"/>
    <x v="1"/>
    <n v="7381.14"/>
    <s v="Churned"/>
    <m/>
    <n v="14"/>
    <x v="0"/>
    <s v="APAC"/>
    <s v="SGP"/>
    <n v="16"/>
    <n v="118098.24000000001"/>
    <x v="0"/>
    <n v="0"/>
  </r>
  <r>
    <n v="538"/>
    <s v="Dynava"/>
    <x v="0"/>
    <d v="2024-11-16T00:00:00"/>
    <x v="0"/>
    <n v="11817.98"/>
    <s v="Pending Renewal"/>
    <d v="2025-10-25T00:00:00"/>
    <n v="14"/>
    <x v="0"/>
    <s v="APAC"/>
    <s v="SGP"/>
    <n v="22"/>
    <n v="259995.56"/>
    <x v="2"/>
    <n v="0"/>
  </r>
  <r>
    <n v="539"/>
    <s v="Yozio"/>
    <x v="4"/>
    <d v="2024-04-30T00:00:00"/>
    <x v="0"/>
    <n v="756.38"/>
    <s v="Churned"/>
    <d v="2025-10-15T00:00:00"/>
    <n v="3"/>
    <x v="1"/>
    <s v="MEA"/>
    <s v="EGY"/>
    <n v="18"/>
    <n v="13614.84"/>
    <x v="0"/>
    <n v="0"/>
  </r>
  <r>
    <n v="540"/>
    <s v="Latz"/>
    <x v="4"/>
    <d v="2024-10-06T00:00:00"/>
    <x v="2"/>
    <n v="1046.7"/>
    <s v="At-Risk"/>
    <d v="2025-07-23T00:00:00"/>
    <n v="1"/>
    <x v="0"/>
    <s v="APAC"/>
    <s v="SGP"/>
    <n v="23"/>
    <n v="24074.100000000002"/>
    <x v="0"/>
    <n v="0"/>
  </r>
  <r>
    <n v="541"/>
    <s v="Yoveo"/>
    <x v="3"/>
    <d v="2024-04-05T00:00:00"/>
    <x v="2"/>
    <n v="5720.24"/>
    <s v="Pending Renewal"/>
    <d v="2026-06-22T00:00:00"/>
    <n v="11"/>
    <x v="0"/>
    <s v="APAC"/>
    <s v="SGP"/>
    <n v="29"/>
    <n v="165886.96"/>
    <x v="2"/>
    <n v="0"/>
  </r>
  <r>
    <n v="542"/>
    <s v="Zoovu"/>
    <x v="2"/>
    <d v="2024-10-10T00:00:00"/>
    <x v="1"/>
    <n v="12787.12"/>
    <s v="Pending Renewal"/>
    <d v="2025-07-09T00:00:00"/>
    <n v="2"/>
    <x v="3"/>
    <s v="NA"/>
    <s v="WEST"/>
    <n v="23"/>
    <n v="294103.76"/>
    <x v="2"/>
    <n v="0"/>
  </r>
  <r>
    <n v="543"/>
    <s v="Thoughtsphere"/>
    <x v="3"/>
    <d v="2024-08-31T00:00:00"/>
    <x v="1"/>
    <n v="1577"/>
    <s v="Pending Renewal"/>
    <d v="2026-02-28T00:00:00"/>
    <n v="7"/>
    <x v="3"/>
    <s v="NA"/>
    <s v="WEST"/>
    <n v="25"/>
    <n v="39425"/>
    <x v="2"/>
    <n v="0"/>
  </r>
  <r>
    <n v="544"/>
    <s v="Photolist"/>
    <x v="0"/>
    <d v="2024-05-27T00:00:00"/>
    <x v="1"/>
    <n v="12804.19"/>
    <s v="At-Risk"/>
    <d v="2026-07-13T00:00:00"/>
    <n v="16"/>
    <x v="0"/>
    <s v="APAC"/>
    <s v="SGP"/>
    <n v="28"/>
    <n v="358517.32"/>
    <x v="1"/>
    <n v="153650.28"/>
  </r>
  <r>
    <n v="545"/>
    <s v="Ailane"/>
    <x v="1"/>
    <d v="2025-01-14T00:00:00"/>
    <x v="2"/>
    <n v="8246.14"/>
    <s v="Churned"/>
    <m/>
    <n v="9"/>
    <x v="1"/>
    <s v="MEA"/>
    <s v="EGY"/>
    <n v="20"/>
    <n v="164922.79999999999"/>
    <x v="2"/>
    <n v="0"/>
  </r>
  <r>
    <n v="546"/>
    <s v="Fadeo"/>
    <x v="3"/>
    <d v="2025-04-26T00:00:00"/>
    <x v="1"/>
    <n v="11230.28"/>
    <s v="Active"/>
    <d v="2026-04-28T00:00:00"/>
    <n v="3"/>
    <x v="3"/>
    <s v="NA"/>
    <s v="WEST"/>
    <n v="17"/>
    <n v="190914.76"/>
    <x v="0"/>
    <n v="0"/>
  </r>
  <r>
    <n v="547"/>
    <s v="Kamba"/>
    <x v="0"/>
    <d v="2025-01-24T00:00:00"/>
    <x v="2"/>
    <n v="3346.24"/>
    <s v="At-Risk"/>
    <d v="2026-07-04T00:00:00"/>
    <n v="18"/>
    <x v="2"/>
    <s v="EU"/>
    <s v="CENTRAL"/>
    <n v="20"/>
    <n v="66924.799999999988"/>
    <x v="1"/>
    <n v="40154.879999999997"/>
  </r>
  <r>
    <n v="548"/>
    <s v="Camimbo"/>
    <x v="2"/>
    <d v="2024-11-23T00:00:00"/>
    <x v="0"/>
    <n v="2479.1"/>
    <s v="At-Risk"/>
    <d v="2025-10-08T00:00:00"/>
    <n v="9"/>
    <x v="2"/>
    <s v="EU"/>
    <s v="CENTRAL"/>
    <n v="22"/>
    <n v="54540.2"/>
    <x v="2"/>
    <n v="0"/>
  </r>
  <r>
    <n v="549"/>
    <s v="Aivee"/>
    <x v="4"/>
    <d v="2024-06-09T00:00:00"/>
    <x v="2"/>
    <n v="12146.61"/>
    <s v="At-Risk"/>
    <d v="2025-12-30T00:00:00"/>
    <n v="12"/>
    <x v="3"/>
    <s v="NA"/>
    <s v="WEST"/>
    <n v="27"/>
    <n v="327958.47000000003"/>
    <x v="1"/>
    <n v="145759.32"/>
  </r>
  <r>
    <n v="550"/>
    <s v="Talane"/>
    <x v="1"/>
    <d v="2024-01-02T00:00:00"/>
    <x v="2"/>
    <n v="10222.98"/>
    <s v="Churned"/>
    <d v="2026-06-13T00:00:00"/>
    <n v="15"/>
    <x v="2"/>
    <s v="EU"/>
    <s v="CENTRAL"/>
    <n v="29"/>
    <n v="296466.42"/>
    <x v="0"/>
    <n v="0"/>
  </r>
  <r>
    <n v="551"/>
    <s v="Youspan"/>
    <x v="4"/>
    <d v="2024-01-15T00:00:00"/>
    <x v="0"/>
    <n v="2850.66"/>
    <s v="Pending Renewal"/>
    <d v="2026-01-24T00:00:00"/>
    <n v="10"/>
    <x v="0"/>
    <s v="APAC"/>
    <s v="SGP"/>
    <n v="32"/>
    <n v="91221.119999999995"/>
    <x v="2"/>
    <n v="0"/>
  </r>
  <r>
    <n v="552"/>
    <s v="Photobug"/>
    <x v="1"/>
    <d v="2024-11-03T00:00:00"/>
    <x v="0"/>
    <n v="11454.96"/>
    <s v="Active"/>
    <d v="2025-08-19T00:00:00"/>
    <n v="14"/>
    <x v="3"/>
    <s v="NA"/>
    <s v="WEST"/>
    <n v="22"/>
    <n v="252009.12"/>
    <x v="0"/>
    <n v="0"/>
  </r>
  <r>
    <n v="553"/>
    <s v="Topicstorm"/>
    <x v="0"/>
    <d v="2024-08-23T00:00:00"/>
    <x v="0"/>
    <n v="10224.6"/>
    <s v="Pending Renewal"/>
    <m/>
    <n v="15"/>
    <x v="2"/>
    <s v="EU"/>
    <s v="CENTRAL"/>
    <n v="25"/>
    <n v="255615"/>
    <x v="2"/>
    <n v="0"/>
  </r>
  <r>
    <n v="554"/>
    <s v="Miboo"/>
    <x v="0"/>
    <d v="2024-01-01T00:00:00"/>
    <x v="2"/>
    <n v="14700.55"/>
    <s v="At-Risk"/>
    <d v="2026-04-10T00:00:00"/>
    <n v="18"/>
    <x v="2"/>
    <s v="EU"/>
    <s v="CENTRAL"/>
    <n v="32"/>
    <n v="470417.6"/>
    <x v="1"/>
    <n v="176406.59999999998"/>
  </r>
  <r>
    <n v="555"/>
    <s v="Quinu"/>
    <x v="1"/>
    <d v="2024-03-18T00:00:00"/>
    <x v="2"/>
    <n v="2251.41"/>
    <s v="Churned"/>
    <d v="2025-09-21T00:00:00"/>
    <n v="9"/>
    <x v="1"/>
    <s v="MEA"/>
    <s v="EGY"/>
    <n v="18"/>
    <n v="40525.379999999997"/>
    <x v="2"/>
    <n v="0"/>
  </r>
  <r>
    <n v="556"/>
    <s v="Kare"/>
    <x v="0"/>
    <d v="2024-08-10T00:00:00"/>
    <x v="2"/>
    <n v="4569.8100000000004"/>
    <s v="Pending Renewal"/>
    <m/>
    <n v="3"/>
    <x v="1"/>
    <s v="MEA"/>
    <s v="EGY"/>
    <n v="25"/>
    <n v="114245.25000000001"/>
    <x v="2"/>
    <n v="0"/>
  </r>
  <r>
    <n v="557"/>
    <s v="Latz"/>
    <x v="2"/>
    <d v="2024-03-28T00:00:00"/>
    <x v="1"/>
    <n v="4197.2299999999996"/>
    <s v="Churned"/>
    <d v="2025-12-01T00:00:00"/>
    <n v="5"/>
    <x v="0"/>
    <s v="APAC"/>
    <s v="SGP"/>
    <n v="21"/>
    <n v="88141.829999999987"/>
    <x v="2"/>
    <n v="0"/>
  </r>
  <r>
    <n v="558"/>
    <s v="Jabberstorm"/>
    <x v="0"/>
    <d v="2024-02-25T00:00:00"/>
    <x v="1"/>
    <n v="10824.17"/>
    <s v="Active"/>
    <m/>
    <n v="13"/>
    <x v="3"/>
    <s v="NA"/>
    <s v="WEST"/>
    <n v="31"/>
    <n v="335549.27"/>
    <x v="0"/>
    <n v="0"/>
  </r>
  <r>
    <n v="559"/>
    <s v="Livetube"/>
    <x v="0"/>
    <d v="2025-04-16T00:00:00"/>
    <x v="1"/>
    <n v="6755.69"/>
    <s v="At-Risk"/>
    <d v="2026-05-23T00:00:00"/>
    <n v="6"/>
    <x v="3"/>
    <s v="NA"/>
    <s v="WEST"/>
    <n v="17"/>
    <n v="114846.73"/>
    <x v="2"/>
    <n v="0"/>
  </r>
  <r>
    <n v="560"/>
    <s v="Wikibox"/>
    <x v="0"/>
    <d v="2024-07-09T00:00:00"/>
    <x v="0"/>
    <n v="8023.07"/>
    <s v="At-Risk"/>
    <d v="2026-08-20T00:00:00"/>
    <n v="8"/>
    <x v="4"/>
    <s v="NA"/>
    <s v="EAST"/>
    <n v="26"/>
    <n v="208599.82"/>
    <x v="2"/>
    <n v="0"/>
  </r>
  <r>
    <n v="561"/>
    <s v="Bubblebox"/>
    <x v="0"/>
    <d v="2024-12-18T00:00:00"/>
    <x v="0"/>
    <n v="10456.39"/>
    <s v="At-Risk"/>
    <d v="2026-07-28T00:00:00"/>
    <n v="9"/>
    <x v="1"/>
    <s v="MEA"/>
    <s v="EGY"/>
    <n v="21"/>
    <n v="219584.19"/>
    <x v="2"/>
    <n v="0"/>
  </r>
  <r>
    <n v="562"/>
    <s v="Zoomlounge"/>
    <x v="1"/>
    <d v="2025-01-19T00:00:00"/>
    <x v="0"/>
    <n v="12423.65"/>
    <s v="Pending Renewal"/>
    <d v="2026-06-04T00:00:00"/>
    <n v="3"/>
    <x v="3"/>
    <s v="NA"/>
    <s v="WEST"/>
    <n v="20"/>
    <n v="248473"/>
    <x v="2"/>
    <n v="0"/>
  </r>
  <r>
    <n v="563"/>
    <s v="Skipstorm"/>
    <x v="1"/>
    <d v="2024-05-18T00:00:00"/>
    <x v="2"/>
    <n v="2917.15"/>
    <s v="Churned"/>
    <d v="2025-08-05T00:00:00"/>
    <n v="2"/>
    <x v="3"/>
    <s v="NA"/>
    <s v="WEST"/>
    <n v="15"/>
    <n v="43757.25"/>
    <x v="0"/>
    <n v="0"/>
  </r>
  <r>
    <n v="564"/>
    <s v="Tazzy"/>
    <x v="2"/>
    <d v="2024-01-25T00:00:00"/>
    <x v="0"/>
    <n v="11506.69"/>
    <s v="Churned"/>
    <d v="2025-10-02T00:00:00"/>
    <n v="2"/>
    <x v="3"/>
    <s v="NA"/>
    <s v="WEST"/>
    <n v="21"/>
    <n v="241640.49000000002"/>
    <x v="0"/>
    <n v="0"/>
  </r>
  <r>
    <n v="565"/>
    <s v="Shufflebeat"/>
    <x v="4"/>
    <d v="2025-05-22T00:00:00"/>
    <x v="2"/>
    <n v="5774.38"/>
    <s v="Active"/>
    <m/>
    <n v="11"/>
    <x v="3"/>
    <s v="NA"/>
    <s v="WEST"/>
    <n v="16"/>
    <n v="92390.080000000002"/>
    <x v="0"/>
    <n v="0"/>
  </r>
  <r>
    <n v="566"/>
    <s v="Blogtag"/>
    <x v="3"/>
    <d v="2025-05-14T00:00:00"/>
    <x v="1"/>
    <n v="7567.47"/>
    <s v="Pending Renewal"/>
    <d v="2025-08-21T00:00:00"/>
    <n v="7"/>
    <x v="0"/>
    <s v="APAC"/>
    <s v="SGP"/>
    <n v="16"/>
    <n v="121079.52"/>
    <x v="2"/>
    <n v="0"/>
  </r>
  <r>
    <n v="567"/>
    <s v="Oozz"/>
    <x v="1"/>
    <d v="2024-02-12T00:00:00"/>
    <x v="1"/>
    <n v="12752.49"/>
    <s v="Active"/>
    <d v="2026-04-27T00:00:00"/>
    <n v="16"/>
    <x v="4"/>
    <s v="NA"/>
    <s v="EAST"/>
    <n v="31"/>
    <n v="395327.19"/>
    <x v="0"/>
    <n v="0"/>
  </r>
  <r>
    <n v="568"/>
    <s v="Skipstorm"/>
    <x v="3"/>
    <d v="2024-02-18T00:00:00"/>
    <x v="0"/>
    <n v="4047.55"/>
    <s v="Pending Renewal"/>
    <d v="2026-07-12T00:00:00"/>
    <n v="14"/>
    <x v="0"/>
    <s v="APAC"/>
    <s v="SGP"/>
    <n v="31"/>
    <n v="125474.05"/>
    <x v="2"/>
    <n v="0"/>
  </r>
  <r>
    <n v="569"/>
    <s v="Oyope"/>
    <x v="4"/>
    <d v="2025-02-09T00:00:00"/>
    <x v="1"/>
    <n v="8439.9599999999991"/>
    <s v="Pending Renewal"/>
    <m/>
    <n v="17"/>
    <x v="0"/>
    <s v="APAC"/>
    <s v="SGP"/>
    <n v="19"/>
    <n v="160359.24"/>
    <x v="2"/>
    <n v="0"/>
  </r>
  <r>
    <n v="570"/>
    <s v="Edgeblab"/>
    <x v="1"/>
    <d v="2024-05-14T00:00:00"/>
    <x v="0"/>
    <n v="8378.4"/>
    <s v="At-Risk"/>
    <d v="2026-03-23T00:00:00"/>
    <n v="7"/>
    <x v="0"/>
    <s v="APAC"/>
    <s v="SGP"/>
    <n v="28"/>
    <n v="234595.19999999998"/>
    <x v="2"/>
    <n v="0"/>
  </r>
  <r>
    <n v="571"/>
    <s v="Ntags"/>
    <x v="3"/>
    <d v="2024-08-19T00:00:00"/>
    <x v="1"/>
    <n v="1540.19"/>
    <s v="At-Risk"/>
    <d v="2026-01-04T00:00:00"/>
    <n v="1"/>
    <x v="3"/>
    <s v="NA"/>
    <s v="WEST"/>
    <n v="25"/>
    <n v="38504.75"/>
    <x v="0"/>
    <n v="0"/>
  </r>
  <r>
    <n v="572"/>
    <s v="Meevee"/>
    <x v="0"/>
    <d v="2024-04-28T00:00:00"/>
    <x v="0"/>
    <n v="8332.17"/>
    <s v="Active"/>
    <d v="2025-10-05T00:00:00"/>
    <n v="11"/>
    <x v="3"/>
    <s v="NA"/>
    <s v="WEST"/>
    <n v="29"/>
    <n v="241632.93"/>
    <x v="0"/>
    <n v="0"/>
  </r>
  <r>
    <n v="573"/>
    <s v="Skaboo"/>
    <x v="1"/>
    <d v="2025-06-05T00:00:00"/>
    <x v="1"/>
    <n v="785.61"/>
    <s v="Churned"/>
    <m/>
    <n v="1"/>
    <x v="3"/>
    <s v="NA"/>
    <s v="WEST"/>
    <n v="15"/>
    <n v="11784.15"/>
    <x v="0"/>
    <n v="0"/>
  </r>
  <r>
    <n v="574"/>
    <s v="Quire"/>
    <x v="1"/>
    <d v="2024-02-29T00:00:00"/>
    <x v="1"/>
    <n v="4968.87"/>
    <s v="Pending Renewal"/>
    <d v="2025-11-20T00:00:00"/>
    <n v="17"/>
    <x v="1"/>
    <s v="MEA"/>
    <s v="EGY"/>
    <n v="31"/>
    <n v="154034.97"/>
    <x v="2"/>
    <n v="0"/>
  </r>
  <r>
    <n v="575"/>
    <s v="Jaxbean"/>
    <x v="1"/>
    <d v="2024-04-07T00:00:00"/>
    <x v="0"/>
    <n v="6848.03"/>
    <s v="Active"/>
    <m/>
    <n v="6"/>
    <x v="3"/>
    <s v="NA"/>
    <s v="WEST"/>
    <n v="29"/>
    <n v="198592.87"/>
    <x v="2"/>
    <n v="0"/>
  </r>
  <r>
    <n v="576"/>
    <s v="Blognation"/>
    <x v="1"/>
    <d v="2024-07-11T00:00:00"/>
    <x v="0"/>
    <n v="5912.22"/>
    <s v="At-Risk"/>
    <d v="2025-10-31T00:00:00"/>
    <n v="6"/>
    <x v="0"/>
    <s v="APAC"/>
    <s v="SGP"/>
    <n v="26"/>
    <n v="153717.72"/>
    <x v="2"/>
    <n v="0"/>
  </r>
  <r>
    <n v="577"/>
    <s v="Gabtype"/>
    <x v="3"/>
    <d v="2024-08-04T00:00:00"/>
    <x v="0"/>
    <n v="11913.87"/>
    <s v="Churned"/>
    <d v="2026-06-07T00:00:00"/>
    <n v="0"/>
    <x v="4"/>
    <s v="NA"/>
    <s v="EAST"/>
    <n v="22"/>
    <n v="262105.14"/>
    <x v="0"/>
    <n v="0"/>
  </r>
  <r>
    <n v="578"/>
    <s v="Topicblab"/>
    <x v="2"/>
    <d v="2024-07-16T00:00:00"/>
    <x v="0"/>
    <n v="5976.1"/>
    <s v="Pending Renewal"/>
    <d v="2025-11-12T00:00:00"/>
    <n v="16"/>
    <x v="0"/>
    <s v="APAC"/>
    <s v="SGP"/>
    <n v="26"/>
    <n v="155378.6"/>
    <x v="2"/>
    <n v="0"/>
  </r>
  <r>
    <n v="579"/>
    <s v="Gabtune"/>
    <x v="2"/>
    <d v="2024-10-06T00:00:00"/>
    <x v="2"/>
    <n v="2982.63"/>
    <s v="Active"/>
    <m/>
    <n v="5"/>
    <x v="1"/>
    <s v="MEA"/>
    <s v="EGY"/>
    <n v="23"/>
    <n v="68600.490000000005"/>
    <x v="2"/>
    <n v="0"/>
  </r>
  <r>
    <n v="580"/>
    <s v="Dablist"/>
    <x v="1"/>
    <d v="2024-07-25T00:00:00"/>
    <x v="2"/>
    <n v="3428.94"/>
    <s v="Active"/>
    <d v="2026-03-12T00:00:00"/>
    <n v="14"/>
    <x v="2"/>
    <s v="EU"/>
    <s v="CENTRAL"/>
    <n v="26"/>
    <n v="89152.44"/>
    <x v="0"/>
    <n v="0"/>
  </r>
  <r>
    <n v="581"/>
    <s v="Zoomdog"/>
    <x v="0"/>
    <d v="2024-09-15T00:00:00"/>
    <x v="2"/>
    <n v="618.04"/>
    <s v="Active"/>
    <d v="2026-08-24T00:00:00"/>
    <n v="10"/>
    <x v="1"/>
    <s v="MEA"/>
    <s v="EGY"/>
    <n v="24"/>
    <n v="14832.96"/>
    <x v="2"/>
    <n v="0"/>
  </r>
  <r>
    <n v="582"/>
    <s v="Tagcat"/>
    <x v="0"/>
    <d v="2024-07-01T00:00:00"/>
    <x v="0"/>
    <n v="7717.71"/>
    <s v="At-Risk"/>
    <d v="2026-07-06T00:00:00"/>
    <n v="7"/>
    <x v="4"/>
    <s v="NA"/>
    <s v="EAST"/>
    <n v="26"/>
    <n v="200660.46"/>
    <x v="2"/>
    <n v="0"/>
  </r>
  <r>
    <n v="583"/>
    <s v="Yakitri"/>
    <x v="4"/>
    <d v="2024-03-21T00:00:00"/>
    <x v="1"/>
    <n v="2781.13"/>
    <s v="At-Risk"/>
    <m/>
    <n v="18"/>
    <x v="0"/>
    <s v="APAC"/>
    <s v="SGP"/>
    <n v="30"/>
    <n v="83433.900000000009"/>
    <x v="1"/>
    <n v="33373.56"/>
  </r>
  <r>
    <n v="584"/>
    <s v="Katz"/>
    <x v="0"/>
    <d v="2024-03-12T00:00:00"/>
    <x v="1"/>
    <n v="12754.48"/>
    <s v="At-Risk"/>
    <d v="2025-11-01T00:00:00"/>
    <n v="15"/>
    <x v="0"/>
    <s v="APAC"/>
    <s v="SGP"/>
    <n v="30"/>
    <n v="382634.39999999997"/>
    <x v="1"/>
    <n v="153053.76000000001"/>
  </r>
  <r>
    <n v="585"/>
    <s v="Feednation"/>
    <x v="1"/>
    <d v="2024-11-27T00:00:00"/>
    <x v="1"/>
    <n v="10453.91"/>
    <s v="Pending Renewal"/>
    <d v="2026-05-26T00:00:00"/>
    <n v="17"/>
    <x v="1"/>
    <s v="MEA"/>
    <s v="EGY"/>
    <n v="22"/>
    <n v="229986.02"/>
    <x v="2"/>
    <n v="0"/>
  </r>
  <r>
    <n v="586"/>
    <s v="Minyx"/>
    <x v="3"/>
    <d v="2024-03-16T00:00:00"/>
    <x v="0"/>
    <n v="9293.0400000000009"/>
    <s v="Churned"/>
    <d v="2026-06-10T00:00:00"/>
    <n v="14"/>
    <x v="3"/>
    <s v="NA"/>
    <s v="WEST"/>
    <n v="27"/>
    <n v="250912.08000000002"/>
    <x v="0"/>
    <n v="0"/>
  </r>
  <r>
    <n v="587"/>
    <s v="Realmix"/>
    <x v="1"/>
    <d v="2024-08-06T00:00:00"/>
    <x v="1"/>
    <n v="1029.8399999999999"/>
    <s v="Pending Renewal"/>
    <m/>
    <n v="5"/>
    <x v="1"/>
    <s v="MEA"/>
    <s v="EGY"/>
    <n v="25"/>
    <n v="25745.999999999996"/>
    <x v="2"/>
    <n v="0"/>
  </r>
  <r>
    <n v="588"/>
    <s v="Riffpedia"/>
    <x v="1"/>
    <d v="2024-10-30T00:00:00"/>
    <x v="1"/>
    <n v="1280.19"/>
    <s v="Active"/>
    <d v="2025-08-18T00:00:00"/>
    <n v="14"/>
    <x v="3"/>
    <s v="NA"/>
    <s v="WEST"/>
    <n v="23"/>
    <n v="29444.370000000003"/>
    <x v="0"/>
    <n v="0"/>
  </r>
  <r>
    <n v="589"/>
    <s v="Centizu"/>
    <x v="2"/>
    <d v="2024-05-10T00:00:00"/>
    <x v="0"/>
    <n v="14953.6"/>
    <s v="Pending Renewal"/>
    <d v="2025-07-15T00:00:00"/>
    <n v="12"/>
    <x v="3"/>
    <s v="NA"/>
    <s v="WEST"/>
    <n v="28"/>
    <n v="418700.79999999999"/>
    <x v="2"/>
    <n v="0"/>
  </r>
  <r>
    <n v="590"/>
    <s v="Babbleopia"/>
    <x v="0"/>
    <d v="2024-11-22T00:00:00"/>
    <x v="1"/>
    <n v="9327.08"/>
    <s v="Churned"/>
    <d v="2026-07-17T00:00:00"/>
    <n v="17"/>
    <x v="0"/>
    <s v="APAC"/>
    <s v="SGP"/>
    <n v="20"/>
    <n v="186541.6"/>
    <x v="0"/>
    <n v="0"/>
  </r>
  <r>
    <n v="591"/>
    <s v="Trilia"/>
    <x v="4"/>
    <d v="2025-04-25T00:00:00"/>
    <x v="2"/>
    <n v="1316.02"/>
    <s v="Churned"/>
    <d v="2026-02-09T00:00:00"/>
    <n v="16"/>
    <x v="4"/>
    <s v="NA"/>
    <s v="EAST"/>
    <n v="10"/>
    <n v="13160.2"/>
    <x v="0"/>
    <n v="0"/>
  </r>
  <r>
    <n v="592"/>
    <s v="Browsetype"/>
    <x v="1"/>
    <d v="2024-01-23T00:00:00"/>
    <x v="1"/>
    <n v="10514.08"/>
    <s v="Churned"/>
    <d v="2026-08-09T00:00:00"/>
    <n v="2"/>
    <x v="0"/>
    <s v="APAC"/>
    <s v="SGP"/>
    <n v="31"/>
    <n v="325936.48"/>
    <x v="0"/>
    <n v="0"/>
  </r>
  <r>
    <n v="593"/>
    <s v="Zoozzy"/>
    <x v="0"/>
    <d v="2024-06-24T00:00:00"/>
    <x v="1"/>
    <n v="886.19"/>
    <s v="At-Risk"/>
    <d v="2026-03-09T00:00:00"/>
    <n v="12"/>
    <x v="4"/>
    <s v="NA"/>
    <s v="EAST"/>
    <n v="27"/>
    <n v="23927.13"/>
    <x v="1"/>
    <n v="10634.28"/>
  </r>
  <r>
    <n v="594"/>
    <s v="Skajo"/>
    <x v="0"/>
    <d v="2024-03-23T00:00:00"/>
    <x v="0"/>
    <n v="8925.41"/>
    <s v="Active"/>
    <d v="2026-02-23T00:00:00"/>
    <n v="0"/>
    <x v="0"/>
    <s v="APAC"/>
    <s v="SGP"/>
    <n v="30"/>
    <n v="267762.3"/>
    <x v="0"/>
    <n v="0"/>
  </r>
  <r>
    <n v="595"/>
    <s v="Quatz"/>
    <x v="3"/>
    <d v="2025-02-18T00:00:00"/>
    <x v="2"/>
    <n v="3655.24"/>
    <s v="Churned"/>
    <m/>
    <n v="17"/>
    <x v="1"/>
    <s v="MEA"/>
    <s v="EGY"/>
    <n v="19"/>
    <n v="69449.56"/>
    <x v="0"/>
    <n v="0"/>
  </r>
  <r>
    <n v="596"/>
    <s v="Flashspan"/>
    <x v="0"/>
    <d v="2024-02-11T00:00:00"/>
    <x v="2"/>
    <n v="10171.120000000001"/>
    <s v="At-Risk"/>
    <d v="2026-03-01T00:00:00"/>
    <n v="5"/>
    <x v="3"/>
    <s v="NA"/>
    <s v="WEST"/>
    <n v="31"/>
    <n v="315304.72000000003"/>
    <x v="2"/>
    <n v="0"/>
  </r>
  <r>
    <n v="597"/>
    <s v="Quaxo"/>
    <x v="3"/>
    <d v="2024-06-27T00:00:00"/>
    <x v="0"/>
    <n v="4055.04"/>
    <s v="Active"/>
    <d v="2025-11-14T00:00:00"/>
    <n v="17"/>
    <x v="0"/>
    <s v="APAC"/>
    <s v="SGP"/>
    <n v="27"/>
    <n v="109486.08"/>
    <x v="0"/>
    <n v="0"/>
  </r>
  <r>
    <n v="598"/>
    <s v="Skipfire"/>
    <x v="0"/>
    <d v="2024-06-12T00:00:00"/>
    <x v="0"/>
    <n v="4669.92"/>
    <s v="At-Risk"/>
    <d v="2026-01-30T00:00:00"/>
    <n v="13"/>
    <x v="3"/>
    <s v="NA"/>
    <s v="WEST"/>
    <n v="27"/>
    <n v="126087.84"/>
    <x v="1"/>
    <n v="56039.040000000001"/>
  </r>
  <r>
    <n v="599"/>
    <s v="Lazz"/>
    <x v="3"/>
    <d v="2024-12-15T00:00:00"/>
    <x v="1"/>
    <n v="14314.93"/>
    <s v="Churned"/>
    <d v="2025-09-06T00:00:00"/>
    <n v="10"/>
    <x v="2"/>
    <s v="EU"/>
    <s v="CENTRAL"/>
    <n v="9"/>
    <n v="128834.37"/>
    <x v="2"/>
    <n v="0"/>
  </r>
  <r>
    <n v="600"/>
    <s v="Riffpedia"/>
    <x v="3"/>
    <d v="2024-05-01T00:00:00"/>
    <x v="1"/>
    <n v="952.18"/>
    <s v="Pending Renewal"/>
    <m/>
    <n v="4"/>
    <x v="1"/>
    <s v="MEA"/>
    <s v="EGY"/>
    <n v="28"/>
    <n v="26661.039999999997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74307-8D05-49EE-9CFD-97239D7C94A0}" name="PivotTable2" cacheId="4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0" firstHeaderRow="1" firstDataRow="1" firstDataCol="1"/>
  <pivotFields count="16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4">
        <item x="2"/>
        <item x="1"/>
        <item x="0"/>
        <item t="default"/>
      </items>
    </pivotField>
    <pivotField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0"/>
        <item x="2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numFmtId="164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pport_Tickets_30D" fld="8" subtotal="average" baseField="0" baseItem="0" numFmtId="165"/>
  </dataFields>
  <formats count="5">
    <format dxfId="18">
      <pivotArea outline="0" fieldPosition="0">
        <references count="1">
          <reference field="14" count="1" selected="0">
            <x v="2"/>
          </reference>
        </references>
      </pivotArea>
    </format>
    <format dxfId="19">
      <pivotArea dataOnly="0" labelOnly="1" outline="0" fieldPosition="0">
        <references count="1">
          <reference field="14" count="0"/>
        </references>
      </pivotArea>
    </format>
    <format dxfId="20">
      <pivotArea grandRow="1" outline="0" collapsedLevelsAreSubtotals="1" fieldPosition="0"/>
    </format>
    <format dxfId="21">
      <pivotArea outline="0" fieldPosition="0">
        <references count="1">
          <reference field="14" count="0" selected="0"/>
        </references>
      </pivotArea>
    </format>
    <format dxfId="22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43A9D-4C60-4E5A-8FB1-54613838A186}" name="PivotTable1" cacheId="4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10" firstHeaderRow="1" firstDataRow="2" firstDataCol="1"/>
  <pivotFields count="16">
    <pivotField compact="0" outline="0" showAll="0"/>
    <pivotField compact="0" outline="0" showAll="0"/>
    <pivotField axis="axisRow" compact="0" outline="0" showAll="0">
      <items count="6">
        <item x="1"/>
        <item x="2"/>
        <item x="3"/>
        <item x="0"/>
        <item x="4"/>
        <item t="default"/>
      </items>
    </pivotField>
    <pivotField compact="0" numFmtId="14" outline="0" showAll="0"/>
    <pivotField compact="0" outline="0" showAll="0">
      <items count="4">
        <item x="2"/>
        <item x="1"/>
        <item x="0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2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axis="axisCol" compact="0" outline="0" showAll="0">
      <items count="4">
        <item x="1"/>
        <item x="0"/>
        <item x="2"/>
        <item t="default"/>
      </items>
    </pivotField>
    <pivotField compact="0" numFmtId="164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Monthly_Revenue" fld="5" baseField="0" baseItem="0" numFmtId="164"/>
  </dataFields>
  <formats count="2">
    <format dxfId="16">
      <pivotArea outline="0" fieldPosition="0">
        <references count="1">
          <reference field="2" count="0" selected="0"/>
        </references>
      </pivotArea>
    </format>
    <format dxfId="17">
      <pivotArea dataOnly="0" labelOnly="1" outline="0" fieldPosition="0">
        <references count="1">
          <reference field="2" count="0"/>
        </references>
      </pivotArea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dustry" xr10:uid="{8C7C5A3A-10CE-4017-861E-3A1E820E5FE9}" sourceName="Industry">
  <pivotTables>
    <pivotTable tabId="2" name="PivotTable1"/>
  </pivotTables>
  <data>
    <tabular pivotCacheId="459706341">
      <items count="5">
        <i x="1" s="1"/>
        <i x="2" s="1"/>
        <i x="3" s="1"/>
        <i x="0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tract_Type" xr10:uid="{7D560D5D-6A4E-4F4C-90BA-6AD1E2A4E797}" sourceName="Contract_Type">
  <pivotTables>
    <pivotTable tabId="2" name="PivotTable2"/>
    <pivotTable tabId="2" name="PivotTable1"/>
  </pivotTables>
  <data>
    <tabular pivotCacheId="459706341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B783C33-6E9B-416E-8676-2F0DEA06021B}" sourceName="region">
  <pivotTables>
    <pivotTable tabId="2" name="PivotTable2"/>
    <pivotTable tabId="2" name="PivotTable1"/>
  </pivotTables>
  <data>
    <tabular pivotCacheId="459706341">
      <items count="5">
        <i x="0" s="1"/>
        <i x="2" s="1"/>
        <i x="1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ustry" xr10:uid="{0EBE56D0-E774-41D7-847D-76BFF4C27748}" cache="Slicer_Industry" caption="Industry" rowHeight="228600"/>
  <slicer name="Contract_Type" xr10:uid="{053B3D42-A996-4743-822D-8D1FD8321A33}" cache="Slicer_Contract_Type" caption="Contract_Type" rowHeight="228600"/>
  <slicer name="region" xr10:uid="{EDDEF063-2536-4869-8A9E-CEE92A5A8600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98C002-E70B-44FD-ADA3-90FDD2BE053B}" name="tbl_SaaS_Audit" displayName="tbl_SaaS_Audit" ref="A1:P601" totalsRowShown="0">
  <autoFilter ref="A1:P601" xr:uid="{0698C002-E70B-44FD-ADA3-90FDD2BE053B}"/>
  <tableColumns count="16">
    <tableColumn id="1" xr3:uid="{D979EABC-B06E-4141-99D1-F274EE36B416}" name="Account_ID" dataDxfId="15"/>
    <tableColumn id="2" xr3:uid="{6F98B5C8-6046-48B5-98E8-232CD1E2814A}" name="Client_Name" dataDxfId="14"/>
    <tableColumn id="3" xr3:uid="{821A3FD5-CB46-469C-B2F5-E9241F0F3BFF}" name="Industry" dataDxfId="13"/>
    <tableColumn id="4" xr3:uid="{370153D3-4F3C-4949-B38B-07931C295F72}" name="Signup_Date" dataDxfId="12"/>
    <tableColumn id="5" xr3:uid="{B1F087CA-CB74-4B31-AD64-86DF974085DE}" name="Contract_Type" dataDxfId="11"/>
    <tableColumn id="6" xr3:uid="{411E8885-5EB5-4F04-B3A6-EA20D3817164}" name="Monthly_Revenue" dataDxfId="10"/>
    <tableColumn id="7" xr3:uid="{1BB28A4A-2BE3-44AE-89F5-2EE991B2E61C}" name="Account_Status" dataDxfId="9"/>
    <tableColumn id="8" xr3:uid="{14384474-0195-41C8-A380-48ADAA471412}" name="Churn_Date" dataDxfId="8"/>
    <tableColumn id="9" xr3:uid="{2A7C68FD-CA85-49A4-B206-87338B55ED6C}" name="Support_Tickets_30D" dataDxfId="7"/>
    <tableColumn id="10" xr3:uid="{792F13BB-B502-446D-8F58-F6E0322610FA}" name="region" dataDxfId="6"/>
    <tableColumn id="13" xr3:uid="{EE7FA3E9-5BD0-4A65-A00B-E391F4EC2FAB}" name="Contient" dataDxfId="5">
      <calculatedColumnFormula>_xlfn.TEXTBEFORE(tbl_SaaS_Audit[[#This Row],[region]],"-")</calculatedColumnFormula>
    </tableColumn>
    <tableColumn id="14" xr3:uid="{413251F0-9633-4D93-93E4-2AF74E774A10}" name="SUB-REGION" dataDxfId="4">
      <calculatedColumnFormula>_xlfn.TEXTAFTER(tbl_SaaS_Audit[[#This Row],[region]],"-")</calculatedColumnFormula>
    </tableColumn>
    <tableColumn id="15" xr3:uid="{0D0B424D-71CA-4B94-8812-A391E0601984}" name="Tenure_Months" dataDxfId="3">
      <calculatedColumnFormula>MAX(0, IF(AND(G2="Churned", ISNUMBER(H2)), (YEAR(H2)-YEAR(D2))*12 + (MONTH(H2)-MONTH(D2)), (YEAR(DATE(2026,9,1))-YEAR(D2))*12 + (MONTH(DATE(2026,9,1))-MONTH(D2))))</calculatedColumnFormula>
    </tableColumn>
    <tableColumn id="16" xr3:uid="{00A55D73-F9B4-489D-9382-7DD78C3532A3}" name="Life Time Value" dataDxfId="2">
      <calculatedColumnFormula>tbl_SaaS_Audit[[#This Row],[Tenure_Months]]*tbl_SaaS_Audit[[#This Row],[Monthly_Revenue]]</calculatedColumnFormula>
    </tableColumn>
    <tableColumn id="17" xr3:uid="{1A6C0C7A-3F9C-4CC5-B4D4-A76B3B870342}" name="Risk_Level" dataDxfId="1">
      <calculatedColumnFormula array="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calculatedColumnFormula>
    </tableColumn>
    <tableColumn id="18" xr3:uid="{59DAFA46-9165-4121-B8E4-B7AC3D324051}" name="MRR Loss " dataDxfId="0">
      <calculatedColumnFormula array="1">_xlfn.IFS(tbl_SaaS_Audit[[#This Row],[Risk_Level]]="CRITICAL RISK",tbl_SaaS_Audit[[#This Row],[Monthly_Revenue]]*12,TRUE,0)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C44A-66AA-4BBF-BC8E-09DA9B9A34D9}">
  <sheetPr>
    <tabColor theme="5" tint="-0.499984740745262"/>
  </sheetPr>
  <dimension ref="A2:L19"/>
  <sheetViews>
    <sheetView showGridLines="0" workbookViewId="0">
      <selection activeCell="D2" sqref="D2"/>
    </sheetView>
  </sheetViews>
  <sheetFormatPr defaultRowHeight="15"/>
  <cols>
    <col min="1" max="1" width="22.42578125" bestFit="1" customWidth="1"/>
    <col min="4" max="4" width="12.7109375" bestFit="1" customWidth="1"/>
    <col min="7" max="7" width="22.42578125" bestFit="1" customWidth="1"/>
    <col min="10" max="10" width="19.85546875" bestFit="1" customWidth="1"/>
  </cols>
  <sheetData>
    <row r="2" spans="1:12">
      <c r="I2" s="17"/>
    </row>
    <row r="4" spans="1:1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7.25">
      <c r="A5" s="20" t="s">
        <v>0</v>
      </c>
      <c r="B5" s="20"/>
      <c r="C5" s="20"/>
      <c r="D5" s="20" t="s">
        <v>1</v>
      </c>
      <c r="E5" s="20"/>
      <c r="F5" s="20"/>
      <c r="G5" s="20" t="s">
        <v>2</v>
      </c>
      <c r="H5" s="20"/>
      <c r="I5" s="20"/>
      <c r="J5" s="20" t="s">
        <v>3</v>
      </c>
      <c r="K5" s="20"/>
      <c r="L5" s="19"/>
    </row>
    <row r="6" spans="1:12" ht="26.25">
      <c r="A6" s="21">
        <f>SUMIFS(tbl_SaaS_Audit[Monthly_Revenue], tbl_SaaS_Audit[Account_Status], "Active")</f>
        <v>1073000.0699999996</v>
      </c>
      <c r="B6" s="22"/>
      <c r="C6" s="22"/>
      <c r="D6" s="23">
        <f>COUNTIF(tbl_SaaS_Audit[Account_Status], "Churned") / COUNTA(tbl_SaaS_Audit[Account_ID])</f>
        <v>0.24166666666666667</v>
      </c>
      <c r="E6" s="24"/>
      <c r="F6" s="24"/>
      <c r="G6" s="25">
        <f>SUMIFS(tbl_SaaS_Audit[[MRR Loss ]], tbl_SaaS_Audit[Risk_Level], "CRITICAL RISK")</f>
        <v>6661833.3599999994</v>
      </c>
      <c r="H6" s="22"/>
      <c r="I6" s="22"/>
      <c r="J6" s="21">
        <f>AVERAGEIFS(tbl_SaaS_Audit[Life Time Value], tbl_SaaS_Audit[Industry], "Enterprise Tech", tbl_SaaS_Audit[Account_Status], "Active")</f>
        <v>152869.7157692308</v>
      </c>
      <c r="K6" s="26"/>
      <c r="L6" s="19"/>
    </row>
    <row r="7" spans="1:1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19" spans="2:2">
      <c r="B19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1348-E69F-4F63-938F-E83DFA99D590}">
  <sheetPr>
    <tabColor theme="1" tint="4.9989318521683403E-2"/>
  </sheetPr>
  <dimension ref="A3:E20"/>
  <sheetViews>
    <sheetView workbookViewId="0">
      <selection activeCell="E23" sqref="E23"/>
    </sheetView>
  </sheetViews>
  <sheetFormatPr defaultRowHeight="15"/>
  <cols>
    <col min="1" max="1" width="24.7109375" bestFit="1" customWidth="1"/>
    <col min="2" max="2" width="13.5703125" bestFit="1" customWidth="1"/>
    <col min="3" max="3" width="13.85546875" bestFit="1" customWidth="1"/>
    <col min="4" max="4" width="16" bestFit="1" customWidth="1"/>
    <col min="5" max="5" width="13.85546875" bestFit="1" customWidth="1"/>
  </cols>
  <sheetData>
    <row r="3" spans="1:5">
      <c r="A3" s="14" t="s">
        <v>4</v>
      </c>
      <c r="B3" s="14" t="s">
        <v>5</v>
      </c>
    </row>
    <row r="4" spans="1:5">
      <c r="A4" s="1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>
      <c r="A5" s="1" t="s">
        <v>11</v>
      </c>
      <c r="B5" s="4">
        <v>129455.55000000002</v>
      </c>
      <c r="C5" s="4">
        <v>433512.00000000006</v>
      </c>
      <c r="D5" s="4">
        <v>452178.22</v>
      </c>
      <c r="E5" s="4">
        <v>1015145.77</v>
      </c>
    </row>
    <row r="6" spans="1:5">
      <c r="A6" s="1" t="s">
        <v>12</v>
      </c>
      <c r="B6" s="4">
        <v>68167.459999999992</v>
      </c>
      <c r="C6" s="4">
        <v>388294.40000000008</v>
      </c>
      <c r="D6" s="4">
        <v>463395.06999999977</v>
      </c>
      <c r="E6" s="4">
        <v>919856.92999999993</v>
      </c>
    </row>
    <row r="7" spans="1:5">
      <c r="A7" s="1" t="s">
        <v>13</v>
      </c>
      <c r="B7" s="4">
        <v>105929.92</v>
      </c>
      <c r="C7" s="4">
        <v>292586.63999999996</v>
      </c>
      <c r="D7" s="4">
        <v>418197.1399999999</v>
      </c>
      <c r="E7" s="4">
        <v>816713.69999999984</v>
      </c>
    </row>
    <row r="8" spans="1:5">
      <c r="A8" s="1" t="s">
        <v>14</v>
      </c>
      <c r="B8" s="4">
        <v>168865.98</v>
      </c>
      <c r="C8" s="4">
        <v>386147.21</v>
      </c>
      <c r="D8" s="4">
        <v>429587.89999999997</v>
      </c>
      <c r="E8" s="4">
        <v>984601.09000000008</v>
      </c>
    </row>
    <row r="9" spans="1:5">
      <c r="A9" s="1" t="s">
        <v>15</v>
      </c>
      <c r="B9" s="4">
        <v>82733.87000000001</v>
      </c>
      <c r="C9" s="4">
        <v>385084.32000000007</v>
      </c>
      <c r="D9" s="4">
        <v>335338.23</v>
      </c>
      <c r="E9" s="4">
        <v>803156.42</v>
      </c>
    </row>
    <row r="10" spans="1:5">
      <c r="A10" t="s">
        <v>10</v>
      </c>
      <c r="B10" s="15">
        <v>555152.78</v>
      </c>
      <c r="C10" s="15">
        <v>1885624.57</v>
      </c>
      <c r="D10" s="15">
        <v>2098696.5599999996</v>
      </c>
      <c r="E10" s="15">
        <v>4539473.91</v>
      </c>
    </row>
    <row r="16" spans="1:5">
      <c r="A16" s="14" t="s">
        <v>5</v>
      </c>
      <c r="B16" t="s">
        <v>16</v>
      </c>
    </row>
    <row r="17" spans="1:2">
      <c r="A17" s="1" t="s">
        <v>7</v>
      </c>
      <c r="B17" s="18">
        <v>14.373134328358208</v>
      </c>
    </row>
    <row r="18" spans="1:2">
      <c r="A18" s="1" t="s">
        <v>8</v>
      </c>
      <c r="B18" s="18">
        <v>8.0155038759689923</v>
      </c>
    </row>
    <row r="19" spans="1:2">
      <c r="A19" s="1" t="s">
        <v>9</v>
      </c>
      <c r="B19" s="18">
        <v>8.56</v>
      </c>
    </row>
    <row r="20" spans="1:2">
      <c r="A20" t="s">
        <v>10</v>
      </c>
      <c r="B20" s="16">
        <v>8.9749999999999996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62A8-161B-4C68-84E6-D120549FA397}">
  <sheetPr>
    <tabColor rgb="FF002060"/>
  </sheetPr>
  <dimension ref="A1:P601"/>
  <sheetViews>
    <sheetView tabSelected="1" topLeftCell="F1" workbookViewId="0">
      <selection activeCell="M3" sqref="M3"/>
    </sheetView>
  </sheetViews>
  <sheetFormatPr defaultRowHeight="15"/>
  <cols>
    <col min="1" max="1" width="13.7109375" bestFit="1" customWidth="1"/>
    <col min="2" max="2" width="15" bestFit="1" customWidth="1"/>
    <col min="3" max="3" width="14.85546875" bestFit="1" customWidth="1"/>
    <col min="4" max="4" width="14.7109375" bestFit="1" customWidth="1"/>
    <col min="5" max="5" width="16.5703125" bestFit="1" customWidth="1"/>
    <col min="6" max="6" width="16.5703125" customWidth="1"/>
    <col min="7" max="7" width="20.140625" bestFit="1" customWidth="1"/>
    <col min="8" max="8" width="17.42578125" bestFit="1" customWidth="1"/>
    <col min="9" max="9" width="14.140625" bestFit="1" customWidth="1"/>
    <col min="10" max="10" width="22.7109375" bestFit="1" customWidth="1"/>
    <col min="11" max="11" width="11.140625" bestFit="1" customWidth="1"/>
    <col min="12" max="12" width="14.7109375" bestFit="1" customWidth="1"/>
    <col min="13" max="13" width="17.85546875" bestFit="1" customWidth="1"/>
    <col min="14" max="14" width="17.28515625" bestFit="1" customWidth="1"/>
    <col min="15" max="15" width="15.7109375" bestFit="1" customWidth="1"/>
    <col min="16" max="16" width="12.42578125" bestFit="1" customWidth="1"/>
  </cols>
  <sheetData>
    <row r="1" spans="1:16">
      <c r="A1" t="s">
        <v>17</v>
      </c>
      <c r="B1" t="s">
        <v>18</v>
      </c>
      <c r="C1" t="s">
        <v>6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5</v>
      </c>
      <c r="P1" t="s">
        <v>30</v>
      </c>
    </row>
    <row r="2" spans="1:16">
      <c r="A2" s="1">
        <v>1</v>
      </c>
      <c r="B2" s="1" t="s">
        <v>31</v>
      </c>
      <c r="C2" s="1" t="s">
        <v>14</v>
      </c>
      <c r="D2" s="2">
        <v>45422</v>
      </c>
      <c r="E2" s="1" t="s">
        <v>32</v>
      </c>
      <c r="F2" s="4">
        <v>9688.01</v>
      </c>
      <c r="G2" s="1" t="s">
        <v>33</v>
      </c>
      <c r="H2" s="2">
        <v>45960</v>
      </c>
      <c r="I2" s="1">
        <v>0</v>
      </c>
      <c r="J2" s="1" t="s">
        <v>34</v>
      </c>
      <c r="K2" s="5" t="str">
        <f>_xlfn.TEXTBEFORE(tbl_SaaS_Audit[[#This Row],[region]],"-")</f>
        <v>APAC</v>
      </c>
      <c r="L2" s="7" t="str">
        <f>_xlfn.TEXTAFTER(tbl_SaaS_Audit[[#This Row],[region]],"-")</f>
        <v>SGP</v>
      </c>
      <c r="M2" s="8">
        <f t="shared" ref="M2:M65" si="0">MAX(0, IF(AND(G2="Churned", ISNUMBER(H2)), (YEAR(H2)-YEAR(D2))*12 + (MONTH(H2)-MONTH(D2)), (YEAR(DATE(2026,9,1))-YEAR(D2))*12 + (MONTH(DATE(2026,9,1))-MONTH(D2))))</f>
        <v>17</v>
      </c>
      <c r="N2" s="4">
        <f>tbl_SaaS_Audit[[#This Row],[Tenure_Months]]*tbl_SaaS_Audit[[#This Row],[Monthly_Revenue]]</f>
        <v>164696.17000000001</v>
      </c>
      <c r="O2" s="10" t="str" cm="1">
        <f t="array" ref="O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" s="12" cm="1">
        <f t="array" ref="P2">_xlfn.IFS(tbl_SaaS_Audit[[#This Row],[Risk_Level]]="CRITICAL RISK",tbl_SaaS_Audit[[#This Row],[Monthly_Revenue]]*12,TRUE,0)</f>
        <v>0</v>
      </c>
    </row>
    <row r="3" spans="1:16">
      <c r="A3" s="1">
        <v>2</v>
      </c>
      <c r="B3" s="1" t="s">
        <v>35</v>
      </c>
      <c r="C3" s="1" t="s">
        <v>14</v>
      </c>
      <c r="D3" s="2">
        <v>45672</v>
      </c>
      <c r="E3" s="1" t="s">
        <v>32</v>
      </c>
      <c r="F3" s="4">
        <v>13704.24</v>
      </c>
      <c r="G3" s="1" t="s">
        <v>36</v>
      </c>
      <c r="H3" s="2">
        <v>45896</v>
      </c>
      <c r="I3" s="1">
        <v>15</v>
      </c>
      <c r="J3" s="1" t="s">
        <v>37</v>
      </c>
      <c r="K3" s="1" t="str">
        <f>_xlfn.TEXTBEFORE(tbl_SaaS_Audit[[#This Row],[region]],"-")</f>
        <v>MEA</v>
      </c>
      <c r="L3" s="8" t="str">
        <f>_xlfn.TEXTAFTER(tbl_SaaS_Audit[[#This Row],[region]],"-")</f>
        <v>EGY</v>
      </c>
      <c r="M3" s="8">
        <f t="shared" si="0"/>
        <v>20</v>
      </c>
      <c r="N3" s="4">
        <f>tbl_SaaS_Audit[[#This Row],[Tenure_Months]]*tbl_SaaS_Audit[[#This Row],[Monthly_Revenue]]</f>
        <v>274084.8</v>
      </c>
      <c r="O3" s="3" t="str" cm="1">
        <f t="array" ref="O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" s="4" cm="1">
        <f t="array" ref="P3">_xlfn.IFS(tbl_SaaS_Audit[[#This Row],[Risk_Level]]="CRITICAL RISK",tbl_SaaS_Audit[[#This Row],[Monthly_Revenue]]*12,TRUE,0)</f>
        <v>0</v>
      </c>
    </row>
    <row r="4" spans="1:16">
      <c r="A4" s="1">
        <v>3</v>
      </c>
      <c r="B4" s="1" t="s">
        <v>38</v>
      </c>
      <c r="C4" s="1" t="s">
        <v>11</v>
      </c>
      <c r="D4" s="2">
        <v>45641</v>
      </c>
      <c r="E4" s="1" t="s">
        <v>39</v>
      </c>
      <c r="F4" s="4">
        <v>3526.3</v>
      </c>
      <c r="G4" s="1" t="s">
        <v>36</v>
      </c>
      <c r="H4" s="1"/>
      <c r="I4" s="1">
        <v>13</v>
      </c>
      <c r="J4" s="1" t="s">
        <v>37</v>
      </c>
      <c r="K4" s="1" t="str">
        <f>_xlfn.TEXTBEFORE(tbl_SaaS_Audit[[#This Row],[region]],"-")</f>
        <v>MEA</v>
      </c>
      <c r="L4" s="8" t="str">
        <f>_xlfn.TEXTAFTER(tbl_SaaS_Audit[[#This Row],[region]],"-")</f>
        <v>EGY</v>
      </c>
      <c r="M4" s="8">
        <f t="shared" si="0"/>
        <v>21</v>
      </c>
      <c r="N4" s="4">
        <f>tbl_SaaS_Audit[[#This Row],[Tenure_Months]]*tbl_SaaS_Audit[[#This Row],[Monthly_Revenue]]</f>
        <v>74052.3</v>
      </c>
      <c r="O4" s="3" t="str" cm="1">
        <f t="array" ref="O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" s="4" cm="1">
        <f t="array" ref="P4">_xlfn.IFS(tbl_SaaS_Audit[[#This Row],[Risk_Level]]="CRITICAL RISK",tbl_SaaS_Audit[[#This Row],[Monthly_Revenue]]*12,TRUE,0)</f>
        <v>0</v>
      </c>
    </row>
    <row r="5" spans="1:16">
      <c r="A5" s="1">
        <v>4</v>
      </c>
      <c r="B5" s="1" t="s">
        <v>40</v>
      </c>
      <c r="C5" s="1" t="s">
        <v>14</v>
      </c>
      <c r="D5" s="2">
        <v>45728</v>
      </c>
      <c r="E5" s="1" t="s">
        <v>41</v>
      </c>
      <c r="F5" s="4">
        <v>8157.37</v>
      </c>
      <c r="G5" s="1" t="s">
        <v>42</v>
      </c>
      <c r="H5" s="2">
        <v>45847</v>
      </c>
      <c r="I5" s="1">
        <v>17</v>
      </c>
      <c r="J5" s="1" t="s">
        <v>37</v>
      </c>
      <c r="K5" s="1" t="str">
        <f>_xlfn.TEXTBEFORE(tbl_SaaS_Audit[[#This Row],[region]],"-")</f>
        <v>MEA</v>
      </c>
      <c r="L5" s="8" t="str">
        <f>_xlfn.TEXTAFTER(tbl_SaaS_Audit[[#This Row],[region]],"-")</f>
        <v>EGY</v>
      </c>
      <c r="M5" s="8">
        <f t="shared" si="0"/>
        <v>18</v>
      </c>
      <c r="N5" s="4">
        <f>tbl_SaaS_Audit[[#This Row],[Tenure_Months]]*tbl_SaaS_Audit[[#This Row],[Monthly_Revenue]]</f>
        <v>146832.66</v>
      </c>
      <c r="O5" s="3" t="str" cm="1">
        <f t="array" ref="O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" s="4" cm="1">
        <f t="array" ref="P5">_xlfn.IFS(tbl_SaaS_Audit[[#This Row],[Risk_Level]]="CRITICAL RISK",tbl_SaaS_Audit[[#This Row],[Monthly_Revenue]]*12,TRUE,0)</f>
        <v>97888.44</v>
      </c>
    </row>
    <row r="6" spans="1:16">
      <c r="A6" s="1">
        <v>5</v>
      </c>
      <c r="B6" s="1" t="s">
        <v>43</v>
      </c>
      <c r="C6" s="1" t="s">
        <v>12</v>
      </c>
      <c r="D6" s="2">
        <v>45647</v>
      </c>
      <c r="E6" s="1" t="s">
        <v>39</v>
      </c>
      <c r="F6" s="4">
        <v>1140.67</v>
      </c>
      <c r="G6" s="1" t="s">
        <v>42</v>
      </c>
      <c r="H6" s="2">
        <v>46101</v>
      </c>
      <c r="I6" s="1">
        <v>10</v>
      </c>
      <c r="J6" s="1" t="s">
        <v>37</v>
      </c>
      <c r="K6" s="1" t="str">
        <f>_xlfn.TEXTBEFORE(tbl_SaaS_Audit[[#This Row],[region]],"-")</f>
        <v>MEA</v>
      </c>
      <c r="L6" s="8" t="str">
        <f>_xlfn.TEXTAFTER(tbl_SaaS_Audit[[#This Row],[region]],"-")</f>
        <v>EGY</v>
      </c>
      <c r="M6" s="8">
        <f t="shared" si="0"/>
        <v>21</v>
      </c>
      <c r="N6" s="4">
        <f>tbl_SaaS_Audit[[#This Row],[Tenure_Months]]*tbl_SaaS_Audit[[#This Row],[Monthly_Revenue]]</f>
        <v>23954.07</v>
      </c>
      <c r="O6" s="3" t="str" cm="1">
        <f t="array" ref="O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" s="4" cm="1">
        <f t="array" ref="P6">_xlfn.IFS(tbl_SaaS_Audit[[#This Row],[Risk_Level]]="CRITICAL RISK",tbl_SaaS_Audit[[#This Row],[Monthly_Revenue]]*12,TRUE,0)</f>
        <v>0</v>
      </c>
    </row>
    <row r="7" spans="1:16">
      <c r="A7" s="1">
        <v>6</v>
      </c>
      <c r="B7" s="1" t="s">
        <v>44</v>
      </c>
      <c r="C7" s="1" t="s">
        <v>14</v>
      </c>
      <c r="D7" s="2">
        <v>45660</v>
      </c>
      <c r="E7" s="1" t="s">
        <v>32</v>
      </c>
      <c r="F7" s="4">
        <v>4591.7700000000004</v>
      </c>
      <c r="G7" s="1" t="s">
        <v>33</v>
      </c>
      <c r="H7" s="2">
        <v>45938</v>
      </c>
      <c r="I7" s="1">
        <v>4</v>
      </c>
      <c r="J7" s="1" t="s">
        <v>45</v>
      </c>
      <c r="K7" s="1" t="str">
        <f>_xlfn.TEXTBEFORE(tbl_SaaS_Audit[[#This Row],[region]],"-")</f>
        <v>EU</v>
      </c>
      <c r="L7" s="8" t="str">
        <f>_xlfn.TEXTAFTER(tbl_SaaS_Audit[[#This Row],[region]],"-")</f>
        <v>CENTRAL</v>
      </c>
      <c r="M7" s="8">
        <f t="shared" si="0"/>
        <v>9</v>
      </c>
      <c r="N7" s="4">
        <f>tbl_SaaS_Audit[[#This Row],[Tenure_Months]]*tbl_SaaS_Audit[[#This Row],[Monthly_Revenue]]</f>
        <v>41325.930000000008</v>
      </c>
      <c r="O7" s="3" t="str" cm="1">
        <f t="array" ref="O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7" s="4" cm="1">
        <f t="array" ref="P7">_xlfn.IFS(tbl_SaaS_Audit[[#This Row],[Risk_Level]]="CRITICAL RISK",tbl_SaaS_Audit[[#This Row],[Monthly_Revenue]]*12,TRUE,0)</f>
        <v>0</v>
      </c>
    </row>
    <row r="8" spans="1:16">
      <c r="A8" s="1">
        <v>7</v>
      </c>
      <c r="B8" s="1" t="s">
        <v>46</v>
      </c>
      <c r="C8" s="1" t="s">
        <v>14</v>
      </c>
      <c r="D8" s="2">
        <v>45733</v>
      </c>
      <c r="E8" s="1" t="s">
        <v>32</v>
      </c>
      <c r="F8" s="4">
        <v>3619.29</v>
      </c>
      <c r="G8" s="1" t="s">
        <v>36</v>
      </c>
      <c r="H8" s="2">
        <v>45937</v>
      </c>
      <c r="I8" s="1">
        <v>0</v>
      </c>
      <c r="J8" s="1" t="s">
        <v>47</v>
      </c>
      <c r="K8" s="1" t="str">
        <f>_xlfn.TEXTBEFORE(tbl_SaaS_Audit[[#This Row],[region]],"-")</f>
        <v>NA</v>
      </c>
      <c r="L8" s="8" t="str">
        <f>_xlfn.TEXTAFTER(tbl_SaaS_Audit[[#This Row],[region]],"-")</f>
        <v>WEST</v>
      </c>
      <c r="M8" s="8">
        <f t="shared" si="0"/>
        <v>18</v>
      </c>
      <c r="N8" s="4">
        <f>tbl_SaaS_Audit[[#This Row],[Tenure_Months]]*tbl_SaaS_Audit[[#This Row],[Monthly_Revenue]]</f>
        <v>65147.22</v>
      </c>
      <c r="O8" s="3" t="str" cm="1">
        <f t="array" ref="O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8" s="4" cm="1">
        <f t="array" ref="P8">_xlfn.IFS(tbl_SaaS_Audit[[#This Row],[Risk_Level]]="CRITICAL RISK",tbl_SaaS_Audit[[#This Row],[Monthly_Revenue]]*12,TRUE,0)</f>
        <v>0</v>
      </c>
    </row>
    <row r="9" spans="1:16">
      <c r="A9" s="1">
        <v>8</v>
      </c>
      <c r="B9" s="1" t="s">
        <v>48</v>
      </c>
      <c r="C9" s="1" t="s">
        <v>13</v>
      </c>
      <c r="D9" s="2">
        <v>45700</v>
      </c>
      <c r="E9" s="1" t="s">
        <v>41</v>
      </c>
      <c r="F9" s="4">
        <v>10675.67</v>
      </c>
      <c r="G9" s="1" t="s">
        <v>49</v>
      </c>
      <c r="H9" s="2">
        <v>45846</v>
      </c>
      <c r="I9" s="1">
        <v>8</v>
      </c>
      <c r="J9" s="1" t="s">
        <v>47</v>
      </c>
      <c r="K9" s="1" t="str">
        <f>_xlfn.TEXTBEFORE(tbl_SaaS_Audit[[#This Row],[region]],"-")</f>
        <v>NA</v>
      </c>
      <c r="L9" s="8" t="str">
        <f>_xlfn.TEXTAFTER(tbl_SaaS_Audit[[#This Row],[region]],"-")</f>
        <v>WEST</v>
      </c>
      <c r="M9" s="8">
        <f t="shared" si="0"/>
        <v>19</v>
      </c>
      <c r="N9" s="4">
        <f>tbl_SaaS_Audit[[#This Row],[Tenure_Months]]*tbl_SaaS_Audit[[#This Row],[Monthly_Revenue]]</f>
        <v>202837.73</v>
      </c>
      <c r="O9" s="3" t="str" cm="1">
        <f t="array" ref="O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9" s="4" cm="1">
        <f t="array" ref="P9">_xlfn.IFS(tbl_SaaS_Audit[[#This Row],[Risk_Level]]="CRITICAL RISK",tbl_SaaS_Audit[[#This Row],[Monthly_Revenue]]*12,TRUE,0)</f>
        <v>0</v>
      </c>
    </row>
    <row r="10" spans="1:16">
      <c r="A10" s="1">
        <v>9</v>
      </c>
      <c r="B10" s="1" t="s">
        <v>50</v>
      </c>
      <c r="C10" s="1" t="s">
        <v>15</v>
      </c>
      <c r="D10" s="2">
        <v>45418</v>
      </c>
      <c r="E10" s="1" t="s">
        <v>41</v>
      </c>
      <c r="F10" s="4">
        <v>4699.47</v>
      </c>
      <c r="G10" s="1" t="s">
        <v>33</v>
      </c>
      <c r="H10" s="2">
        <v>46140</v>
      </c>
      <c r="I10" s="1">
        <v>18</v>
      </c>
      <c r="J10" s="1" t="s">
        <v>51</v>
      </c>
      <c r="K10" s="1" t="str">
        <f>_xlfn.TEXTBEFORE(tbl_SaaS_Audit[[#This Row],[region]],"-")</f>
        <v>NA</v>
      </c>
      <c r="L10" s="8" t="str">
        <f>_xlfn.TEXTAFTER(tbl_SaaS_Audit[[#This Row],[region]],"-")</f>
        <v>EAST</v>
      </c>
      <c r="M10" s="8">
        <f t="shared" si="0"/>
        <v>23</v>
      </c>
      <c r="N10" s="4">
        <f>tbl_SaaS_Audit[[#This Row],[Tenure_Months]]*tbl_SaaS_Audit[[#This Row],[Monthly_Revenue]]</f>
        <v>108087.81000000001</v>
      </c>
      <c r="O10" s="3" t="str" cm="1">
        <f t="array" ref="O1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0" s="4" cm="1">
        <f t="array" ref="P10">_xlfn.IFS(tbl_SaaS_Audit[[#This Row],[Risk_Level]]="CRITICAL RISK",tbl_SaaS_Audit[[#This Row],[Monthly_Revenue]]*12,TRUE,0)</f>
        <v>0</v>
      </c>
    </row>
    <row r="11" spans="1:16">
      <c r="A11" s="1">
        <v>10</v>
      </c>
      <c r="B11" s="1" t="s">
        <v>52</v>
      </c>
      <c r="C11" s="1" t="s">
        <v>15</v>
      </c>
      <c r="D11" s="2">
        <v>45478</v>
      </c>
      <c r="E11" s="1" t="s">
        <v>41</v>
      </c>
      <c r="F11" s="4">
        <v>7273.85</v>
      </c>
      <c r="G11" s="1" t="s">
        <v>36</v>
      </c>
      <c r="H11" s="2">
        <v>46076</v>
      </c>
      <c r="I11" s="1">
        <v>14</v>
      </c>
      <c r="J11" s="1" t="s">
        <v>34</v>
      </c>
      <c r="K11" s="1" t="str">
        <f>_xlfn.TEXTBEFORE(tbl_SaaS_Audit[[#This Row],[region]],"-")</f>
        <v>APAC</v>
      </c>
      <c r="L11" s="8" t="str">
        <f>_xlfn.TEXTAFTER(tbl_SaaS_Audit[[#This Row],[region]],"-")</f>
        <v>SGP</v>
      </c>
      <c r="M11" s="8">
        <f t="shared" si="0"/>
        <v>26</v>
      </c>
      <c r="N11" s="4">
        <f>tbl_SaaS_Audit[[#This Row],[Tenure_Months]]*tbl_SaaS_Audit[[#This Row],[Monthly_Revenue]]</f>
        <v>189120.1</v>
      </c>
      <c r="O11" s="3" t="str" cm="1">
        <f t="array" ref="O1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1" s="4" cm="1">
        <f t="array" ref="P11">_xlfn.IFS(tbl_SaaS_Audit[[#This Row],[Risk_Level]]="CRITICAL RISK",tbl_SaaS_Audit[[#This Row],[Monthly_Revenue]]*12,TRUE,0)</f>
        <v>0</v>
      </c>
    </row>
    <row r="12" spans="1:16">
      <c r="A12" s="1">
        <v>11</v>
      </c>
      <c r="B12" s="1" t="s">
        <v>53</v>
      </c>
      <c r="C12" s="1" t="s">
        <v>14</v>
      </c>
      <c r="D12" s="2">
        <v>45834</v>
      </c>
      <c r="E12" s="1" t="s">
        <v>39</v>
      </c>
      <c r="F12" s="4">
        <v>5587.95</v>
      </c>
      <c r="G12" s="1" t="s">
        <v>33</v>
      </c>
      <c r="H12" s="2">
        <v>46247</v>
      </c>
      <c r="I12" s="1">
        <v>16</v>
      </c>
      <c r="J12" s="1" t="s">
        <v>45</v>
      </c>
      <c r="K12" s="1" t="str">
        <f>_xlfn.TEXTBEFORE(tbl_SaaS_Audit[[#This Row],[region]],"-")</f>
        <v>EU</v>
      </c>
      <c r="L12" s="8" t="str">
        <f>_xlfn.TEXTAFTER(tbl_SaaS_Audit[[#This Row],[region]],"-")</f>
        <v>CENTRAL</v>
      </c>
      <c r="M12" s="8">
        <f t="shared" si="0"/>
        <v>14</v>
      </c>
      <c r="N12" s="4">
        <f>tbl_SaaS_Audit[[#This Row],[Tenure_Months]]*tbl_SaaS_Audit[[#This Row],[Monthly_Revenue]]</f>
        <v>78231.3</v>
      </c>
      <c r="O12" s="3" t="str" cm="1">
        <f t="array" ref="O1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2" s="4" cm="1">
        <f t="array" ref="P12">_xlfn.IFS(tbl_SaaS_Audit[[#This Row],[Risk_Level]]="CRITICAL RISK",tbl_SaaS_Audit[[#This Row],[Monthly_Revenue]]*12,TRUE,0)</f>
        <v>0</v>
      </c>
    </row>
    <row r="13" spans="1:16">
      <c r="A13" s="1">
        <v>12</v>
      </c>
      <c r="B13" s="1" t="s">
        <v>54</v>
      </c>
      <c r="C13" s="1" t="s">
        <v>13</v>
      </c>
      <c r="D13" s="2">
        <v>45769</v>
      </c>
      <c r="E13" s="1" t="s">
        <v>32</v>
      </c>
      <c r="F13" s="4">
        <v>10812.6</v>
      </c>
      <c r="G13" s="1" t="s">
        <v>49</v>
      </c>
      <c r="H13" s="2">
        <v>46073</v>
      </c>
      <c r="I13" s="1">
        <v>0</v>
      </c>
      <c r="J13" s="1" t="s">
        <v>45</v>
      </c>
      <c r="K13" s="1" t="str">
        <f>_xlfn.TEXTBEFORE(tbl_SaaS_Audit[[#This Row],[region]],"-")</f>
        <v>EU</v>
      </c>
      <c r="L13" s="8" t="str">
        <f>_xlfn.TEXTAFTER(tbl_SaaS_Audit[[#This Row],[region]],"-")</f>
        <v>CENTRAL</v>
      </c>
      <c r="M13" s="8">
        <f t="shared" si="0"/>
        <v>17</v>
      </c>
      <c r="N13" s="4">
        <f>tbl_SaaS_Audit[[#This Row],[Tenure_Months]]*tbl_SaaS_Audit[[#This Row],[Monthly_Revenue]]</f>
        <v>183814.2</v>
      </c>
      <c r="O13" s="3" t="str" cm="1">
        <f t="array" ref="O1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" s="4" cm="1">
        <f t="array" ref="P13">_xlfn.IFS(tbl_SaaS_Audit[[#This Row],[Risk_Level]]="CRITICAL RISK",tbl_SaaS_Audit[[#This Row],[Monthly_Revenue]]*12,TRUE,0)</f>
        <v>0</v>
      </c>
    </row>
    <row r="14" spans="1:16">
      <c r="A14" s="1">
        <v>13</v>
      </c>
      <c r="B14" s="1" t="s">
        <v>55</v>
      </c>
      <c r="C14" s="1" t="s">
        <v>14</v>
      </c>
      <c r="D14" s="2">
        <v>45546</v>
      </c>
      <c r="E14" s="1" t="s">
        <v>41</v>
      </c>
      <c r="F14" s="4">
        <v>8863.44</v>
      </c>
      <c r="G14" s="1" t="s">
        <v>36</v>
      </c>
      <c r="H14" s="2">
        <v>45909</v>
      </c>
      <c r="I14" s="1">
        <v>0</v>
      </c>
      <c r="J14" s="1" t="s">
        <v>34</v>
      </c>
      <c r="K14" s="1" t="str">
        <f>_xlfn.TEXTBEFORE(tbl_SaaS_Audit[[#This Row],[region]],"-")</f>
        <v>APAC</v>
      </c>
      <c r="L14" s="8" t="str">
        <f>_xlfn.TEXTAFTER(tbl_SaaS_Audit[[#This Row],[region]],"-")</f>
        <v>SGP</v>
      </c>
      <c r="M14" s="8">
        <f t="shared" si="0"/>
        <v>24</v>
      </c>
      <c r="N14" s="4">
        <f>tbl_SaaS_Audit[[#This Row],[Tenure_Months]]*tbl_SaaS_Audit[[#This Row],[Monthly_Revenue]]</f>
        <v>212722.56</v>
      </c>
      <c r="O14" s="3" t="str" cm="1">
        <f t="array" ref="O1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4" s="4" cm="1">
        <f t="array" ref="P14">_xlfn.IFS(tbl_SaaS_Audit[[#This Row],[Risk_Level]]="CRITICAL RISK",tbl_SaaS_Audit[[#This Row],[Monthly_Revenue]]*12,TRUE,0)</f>
        <v>0</v>
      </c>
    </row>
    <row r="15" spans="1:16">
      <c r="A15" s="1">
        <v>14</v>
      </c>
      <c r="B15" s="1" t="s">
        <v>56</v>
      </c>
      <c r="C15" s="1" t="s">
        <v>12</v>
      </c>
      <c r="D15" s="2">
        <v>45760</v>
      </c>
      <c r="E15" s="1" t="s">
        <v>39</v>
      </c>
      <c r="F15" s="4">
        <v>9357.43</v>
      </c>
      <c r="G15" s="1" t="s">
        <v>42</v>
      </c>
      <c r="H15" s="2">
        <v>46044</v>
      </c>
      <c r="I15" s="1">
        <v>1</v>
      </c>
      <c r="J15" s="1" t="s">
        <v>47</v>
      </c>
      <c r="K15" s="1" t="str">
        <f>_xlfn.TEXTBEFORE(tbl_SaaS_Audit[[#This Row],[region]],"-")</f>
        <v>NA</v>
      </c>
      <c r="L15" s="8" t="str">
        <f>_xlfn.TEXTAFTER(tbl_SaaS_Audit[[#This Row],[region]],"-")</f>
        <v>WEST</v>
      </c>
      <c r="M15" s="8">
        <f t="shared" si="0"/>
        <v>17</v>
      </c>
      <c r="N15" s="4">
        <f>tbl_SaaS_Audit[[#This Row],[Tenure_Months]]*tbl_SaaS_Audit[[#This Row],[Monthly_Revenue]]</f>
        <v>159076.31</v>
      </c>
      <c r="O15" s="3" t="str" cm="1">
        <f t="array" ref="O1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5" s="4" cm="1">
        <f t="array" ref="P15">_xlfn.IFS(tbl_SaaS_Audit[[#This Row],[Risk_Level]]="CRITICAL RISK",tbl_SaaS_Audit[[#This Row],[Monthly_Revenue]]*12,TRUE,0)</f>
        <v>0</v>
      </c>
    </row>
    <row r="16" spans="1:16">
      <c r="A16" s="1">
        <v>15</v>
      </c>
      <c r="B16" s="1" t="s">
        <v>57</v>
      </c>
      <c r="C16" s="1" t="s">
        <v>12</v>
      </c>
      <c r="D16" s="2">
        <v>45622</v>
      </c>
      <c r="E16" s="1" t="s">
        <v>32</v>
      </c>
      <c r="F16" s="4">
        <v>12450.41</v>
      </c>
      <c r="G16" s="1" t="s">
        <v>42</v>
      </c>
      <c r="H16" s="1"/>
      <c r="I16" s="1">
        <v>6</v>
      </c>
      <c r="J16" s="1" t="s">
        <v>47</v>
      </c>
      <c r="K16" s="1" t="str">
        <f>_xlfn.TEXTBEFORE(tbl_SaaS_Audit[[#This Row],[region]],"-")</f>
        <v>NA</v>
      </c>
      <c r="L16" s="8" t="str">
        <f>_xlfn.TEXTAFTER(tbl_SaaS_Audit[[#This Row],[region]],"-")</f>
        <v>WEST</v>
      </c>
      <c r="M16" s="8">
        <f t="shared" si="0"/>
        <v>22</v>
      </c>
      <c r="N16" s="4">
        <f>tbl_SaaS_Audit[[#This Row],[Tenure_Months]]*tbl_SaaS_Audit[[#This Row],[Monthly_Revenue]]</f>
        <v>273909.02</v>
      </c>
      <c r="O16" s="3" t="str" cm="1">
        <f t="array" ref="O1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6" s="4" cm="1">
        <f t="array" ref="P16">_xlfn.IFS(tbl_SaaS_Audit[[#This Row],[Risk_Level]]="CRITICAL RISK",tbl_SaaS_Audit[[#This Row],[Monthly_Revenue]]*12,TRUE,0)</f>
        <v>0</v>
      </c>
    </row>
    <row r="17" spans="1:16">
      <c r="A17" s="1">
        <v>16</v>
      </c>
      <c r="B17" s="1" t="s">
        <v>58</v>
      </c>
      <c r="C17" s="1" t="s">
        <v>12</v>
      </c>
      <c r="D17" s="2">
        <v>45473</v>
      </c>
      <c r="E17" s="1" t="s">
        <v>39</v>
      </c>
      <c r="F17" s="4">
        <v>11038.93</v>
      </c>
      <c r="G17" s="1" t="s">
        <v>42</v>
      </c>
      <c r="H17" s="2">
        <v>46092</v>
      </c>
      <c r="I17" s="1">
        <v>1</v>
      </c>
      <c r="J17" s="1" t="s">
        <v>45</v>
      </c>
      <c r="K17" s="1" t="str">
        <f>_xlfn.TEXTBEFORE(tbl_SaaS_Audit[[#This Row],[region]],"-")</f>
        <v>EU</v>
      </c>
      <c r="L17" s="8" t="str">
        <f>_xlfn.TEXTAFTER(tbl_SaaS_Audit[[#This Row],[region]],"-")</f>
        <v>CENTRAL</v>
      </c>
      <c r="M17" s="8">
        <f t="shared" si="0"/>
        <v>27</v>
      </c>
      <c r="N17" s="4">
        <f>tbl_SaaS_Audit[[#This Row],[Tenure_Months]]*tbl_SaaS_Audit[[#This Row],[Monthly_Revenue]]</f>
        <v>298051.11</v>
      </c>
      <c r="O17" s="3" t="str" cm="1">
        <f t="array" ref="O1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7" s="4" cm="1">
        <f t="array" ref="P17">_xlfn.IFS(tbl_SaaS_Audit[[#This Row],[Risk_Level]]="CRITICAL RISK",tbl_SaaS_Audit[[#This Row],[Monthly_Revenue]]*12,TRUE,0)</f>
        <v>0</v>
      </c>
    </row>
    <row r="18" spans="1:16">
      <c r="A18" s="1">
        <v>17</v>
      </c>
      <c r="B18" s="1" t="s">
        <v>59</v>
      </c>
      <c r="C18" s="1" t="s">
        <v>15</v>
      </c>
      <c r="D18" s="2">
        <v>45646</v>
      </c>
      <c r="E18" s="1" t="s">
        <v>32</v>
      </c>
      <c r="F18" s="4">
        <v>13491.38</v>
      </c>
      <c r="G18" s="1" t="s">
        <v>33</v>
      </c>
      <c r="H18" s="2">
        <v>45989</v>
      </c>
      <c r="I18" s="1">
        <v>5</v>
      </c>
      <c r="J18" s="1" t="s">
        <v>34</v>
      </c>
      <c r="K18" s="1" t="str">
        <f>_xlfn.TEXTBEFORE(tbl_SaaS_Audit[[#This Row],[region]],"-")</f>
        <v>APAC</v>
      </c>
      <c r="L18" s="8" t="str">
        <f>_xlfn.TEXTAFTER(tbl_SaaS_Audit[[#This Row],[region]],"-")</f>
        <v>SGP</v>
      </c>
      <c r="M18" s="8">
        <f t="shared" si="0"/>
        <v>11</v>
      </c>
      <c r="N18" s="4">
        <f>tbl_SaaS_Audit[[#This Row],[Tenure_Months]]*tbl_SaaS_Audit[[#This Row],[Monthly_Revenue]]</f>
        <v>148405.18</v>
      </c>
      <c r="O18" s="3" t="str" cm="1">
        <f t="array" ref="O1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8" s="4" cm="1">
        <f t="array" ref="P18">_xlfn.IFS(tbl_SaaS_Audit[[#This Row],[Risk_Level]]="CRITICAL RISK",tbl_SaaS_Audit[[#This Row],[Monthly_Revenue]]*12,TRUE,0)</f>
        <v>0</v>
      </c>
    </row>
    <row r="19" spans="1:16">
      <c r="A19" s="1">
        <v>18</v>
      </c>
      <c r="B19" s="1" t="s">
        <v>60</v>
      </c>
      <c r="C19" s="1" t="s">
        <v>12</v>
      </c>
      <c r="D19" s="2">
        <v>45385</v>
      </c>
      <c r="E19" s="1" t="s">
        <v>41</v>
      </c>
      <c r="F19" s="4">
        <v>8148.19</v>
      </c>
      <c r="G19" s="1" t="s">
        <v>42</v>
      </c>
      <c r="H19" s="2">
        <v>46257</v>
      </c>
      <c r="I19" s="1">
        <v>3</v>
      </c>
      <c r="J19" s="1" t="s">
        <v>51</v>
      </c>
      <c r="K19" s="1" t="str">
        <f>_xlfn.TEXTBEFORE(tbl_SaaS_Audit[[#This Row],[region]],"-")</f>
        <v>NA</v>
      </c>
      <c r="L19" s="8" t="str">
        <f>_xlfn.TEXTAFTER(tbl_SaaS_Audit[[#This Row],[region]],"-")</f>
        <v>EAST</v>
      </c>
      <c r="M19" s="8">
        <f t="shared" si="0"/>
        <v>29</v>
      </c>
      <c r="N19" s="4">
        <f>tbl_SaaS_Audit[[#This Row],[Tenure_Months]]*tbl_SaaS_Audit[[#This Row],[Monthly_Revenue]]</f>
        <v>236297.50999999998</v>
      </c>
      <c r="O19" s="3" t="str" cm="1">
        <f t="array" ref="O1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9" s="4" cm="1">
        <f t="array" ref="P19">_xlfn.IFS(tbl_SaaS_Audit[[#This Row],[Risk_Level]]="CRITICAL RISK",tbl_SaaS_Audit[[#This Row],[Monthly_Revenue]]*12,TRUE,0)</f>
        <v>0</v>
      </c>
    </row>
    <row r="20" spans="1:16">
      <c r="A20" s="1">
        <v>19</v>
      </c>
      <c r="B20" s="1" t="s">
        <v>61</v>
      </c>
      <c r="C20" s="1" t="s">
        <v>12</v>
      </c>
      <c r="D20" s="2">
        <v>45804</v>
      </c>
      <c r="E20" s="1" t="s">
        <v>41</v>
      </c>
      <c r="F20" s="4">
        <v>5824.26</v>
      </c>
      <c r="G20" s="1" t="s">
        <v>36</v>
      </c>
      <c r="H20" s="2">
        <v>46213</v>
      </c>
      <c r="I20" s="1">
        <v>10</v>
      </c>
      <c r="J20" s="1" t="s">
        <v>37</v>
      </c>
      <c r="K20" s="1" t="str">
        <f>_xlfn.TEXTBEFORE(tbl_SaaS_Audit[[#This Row],[region]],"-")</f>
        <v>MEA</v>
      </c>
      <c r="L20" s="8" t="str">
        <f>_xlfn.TEXTAFTER(tbl_SaaS_Audit[[#This Row],[region]],"-")</f>
        <v>EGY</v>
      </c>
      <c r="M20" s="8">
        <f t="shared" si="0"/>
        <v>16</v>
      </c>
      <c r="N20" s="4">
        <f>tbl_SaaS_Audit[[#This Row],[Tenure_Months]]*tbl_SaaS_Audit[[#This Row],[Monthly_Revenue]]</f>
        <v>93188.160000000003</v>
      </c>
      <c r="O20" s="3" t="str" cm="1">
        <f t="array" ref="O2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0" s="4" cm="1">
        <f t="array" ref="P20">_xlfn.IFS(tbl_SaaS_Audit[[#This Row],[Risk_Level]]="CRITICAL RISK",tbl_SaaS_Audit[[#This Row],[Monthly_Revenue]]*12,TRUE,0)</f>
        <v>0</v>
      </c>
    </row>
    <row r="21" spans="1:16">
      <c r="A21" s="1">
        <v>20</v>
      </c>
      <c r="B21" s="1" t="s">
        <v>62</v>
      </c>
      <c r="C21" s="1" t="s">
        <v>14</v>
      </c>
      <c r="D21" s="2">
        <v>45498</v>
      </c>
      <c r="E21" s="1" t="s">
        <v>32</v>
      </c>
      <c r="F21" s="4">
        <v>3021.45</v>
      </c>
      <c r="G21" s="1" t="s">
        <v>33</v>
      </c>
      <c r="H21" s="2">
        <v>45945</v>
      </c>
      <c r="I21" s="1">
        <v>14</v>
      </c>
      <c r="J21" s="1" t="s">
        <v>51</v>
      </c>
      <c r="K21" s="1" t="str">
        <f>_xlfn.TEXTBEFORE(tbl_SaaS_Audit[[#This Row],[region]],"-")</f>
        <v>NA</v>
      </c>
      <c r="L21" s="8" t="str">
        <f>_xlfn.TEXTAFTER(tbl_SaaS_Audit[[#This Row],[region]],"-")</f>
        <v>EAST</v>
      </c>
      <c r="M21" s="8">
        <f t="shared" si="0"/>
        <v>15</v>
      </c>
      <c r="N21" s="4">
        <f>tbl_SaaS_Audit[[#This Row],[Tenure_Months]]*tbl_SaaS_Audit[[#This Row],[Monthly_Revenue]]</f>
        <v>45321.75</v>
      </c>
      <c r="O21" s="3" t="str" cm="1">
        <f t="array" ref="O2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1" s="4" cm="1">
        <f t="array" ref="P21">_xlfn.IFS(tbl_SaaS_Audit[[#This Row],[Risk_Level]]="CRITICAL RISK",tbl_SaaS_Audit[[#This Row],[Monthly_Revenue]]*12,TRUE,0)</f>
        <v>0</v>
      </c>
    </row>
    <row r="22" spans="1:16">
      <c r="A22" s="1">
        <v>21</v>
      </c>
      <c r="B22" s="1" t="s">
        <v>63</v>
      </c>
      <c r="C22" s="1" t="s">
        <v>11</v>
      </c>
      <c r="D22" s="2">
        <v>45421</v>
      </c>
      <c r="E22" s="1" t="s">
        <v>32</v>
      </c>
      <c r="F22" s="4">
        <v>9380.27</v>
      </c>
      <c r="G22" s="1" t="s">
        <v>42</v>
      </c>
      <c r="H22" s="2">
        <v>46022</v>
      </c>
      <c r="I22" s="1">
        <v>9</v>
      </c>
      <c r="J22" s="1" t="s">
        <v>47</v>
      </c>
      <c r="K22" s="1" t="str">
        <f>_xlfn.TEXTBEFORE(tbl_SaaS_Audit[[#This Row],[region]],"-")</f>
        <v>NA</v>
      </c>
      <c r="L22" s="8" t="str">
        <f>_xlfn.TEXTAFTER(tbl_SaaS_Audit[[#This Row],[region]],"-")</f>
        <v>WEST</v>
      </c>
      <c r="M22" s="8">
        <f t="shared" si="0"/>
        <v>28</v>
      </c>
      <c r="N22" s="4">
        <f>tbl_SaaS_Audit[[#This Row],[Tenure_Months]]*tbl_SaaS_Audit[[#This Row],[Monthly_Revenue]]</f>
        <v>262647.56</v>
      </c>
      <c r="O22" s="3" t="str" cm="1">
        <f t="array" ref="O2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2" s="4" cm="1">
        <f t="array" ref="P22">_xlfn.IFS(tbl_SaaS_Audit[[#This Row],[Risk_Level]]="CRITICAL RISK",tbl_SaaS_Audit[[#This Row],[Monthly_Revenue]]*12,TRUE,0)</f>
        <v>0</v>
      </c>
    </row>
    <row r="23" spans="1:16">
      <c r="A23" s="1">
        <v>22</v>
      </c>
      <c r="B23" s="1" t="s">
        <v>64</v>
      </c>
      <c r="C23" s="1" t="s">
        <v>13</v>
      </c>
      <c r="D23" s="2">
        <v>45302</v>
      </c>
      <c r="E23" s="1" t="s">
        <v>32</v>
      </c>
      <c r="F23" s="4">
        <v>11448.2</v>
      </c>
      <c r="G23" s="1" t="s">
        <v>36</v>
      </c>
      <c r="H23" s="2">
        <v>46006</v>
      </c>
      <c r="I23" s="1">
        <v>8</v>
      </c>
      <c r="J23" s="1" t="s">
        <v>34</v>
      </c>
      <c r="K23" s="1" t="str">
        <f>_xlfn.TEXTBEFORE(tbl_SaaS_Audit[[#This Row],[region]],"-")</f>
        <v>APAC</v>
      </c>
      <c r="L23" s="8" t="str">
        <f>_xlfn.TEXTAFTER(tbl_SaaS_Audit[[#This Row],[region]],"-")</f>
        <v>SGP</v>
      </c>
      <c r="M23" s="8">
        <f t="shared" si="0"/>
        <v>32</v>
      </c>
      <c r="N23" s="4">
        <f>tbl_SaaS_Audit[[#This Row],[Tenure_Months]]*tbl_SaaS_Audit[[#This Row],[Monthly_Revenue]]</f>
        <v>366342.40000000002</v>
      </c>
      <c r="O23" s="3" t="str" cm="1">
        <f t="array" ref="O2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3" s="4" cm="1">
        <f t="array" ref="P23">_xlfn.IFS(tbl_SaaS_Audit[[#This Row],[Risk_Level]]="CRITICAL RISK",tbl_SaaS_Audit[[#This Row],[Monthly_Revenue]]*12,TRUE,0)</f>
        <v>0</v>
      </c>
    </row>
    <row r="24" spans="1:16">
      <c r="A24" s="1">
        <v>23</v>
      </c>
      <c r="B24" s="1" t="s">
        <v>65</v>
      </c>
      <c r="C24" s="1" t="s">
        <v>15</v>
      </c>
      <c r="D24" s="2">
        <v>45667</v>
      </c>
      <c r="E24" s="1" t="s">
        <v>39</v>
      </c>
      <c r="F24" s="4">
        <v>3285.35</v>
      </c>
      <c r="G24" s="1" t="s">
        <v>49</v>
      </c>
      <c r="H24" s="2">
        <v>45843</v>
      </c>
      <c r="I24" s="1">
        <v>6</v>
      </c>
      <c r="J24" s="1" t="s">
        <v>45</v>
      </c>
      <c r="K24" s="1" t="str">
        <f>_xlfn.TEXTBEFORE(tbl_SaaS_Audit[[#This Row],[region]],"-")</f>
        <v>EU</v>
      </c>
      <c r="L24" s="8" t="str">
        <f>_xlfn.TEXTAFTER(tbl_SaaS_Audit[[#This Row],[region]],"-")</f>
        <v>CENTRAL</v>
      </c>
      <c r="M24" s="8">
        <f t="shared" si="0"/>
        <v>20</v>
      </c>
      <c r="N24" s="4">
        <f>tbl_SaaS_Audit[[#This Row],[Tenure_Months]]*tbl_SaaS_Audit[[#This Row],[Monthly_Revenue]]</f>
        <v>65707</v>
      </c>
      <c r="O24" s="3" t="str" cm="1">
        <f t="array" ref="O2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4" s="4" cm="1">
        <f t="array" ref="P24">_xlfn.IFS(tbl_SaaS_Audit[[#This Row],[Risk_Level]]="CRITICAL RISK",tbl_SaaS_Audit[[#This Row],[Monthly_Revenue]]*12,TRUE,0)</f>
        <v>0</v>
      </c>
    </row>
    <row r="25" spans="1:16">
      <c r="A25" s="1">
        <v>24</v>
      </c>
      <c r="B25" s="1" t="s">
        <v>66</v>
      </c>
      <c r="C25" s="1" t="s">
        <v>14</v>
      </c>
      <c r="D25" s="2">
        <v>45329</v>
      </c>
      <c r="E25" s="1" t="s">
        <v>41</v>
      </c>
      <c r="F25" s="4">
        <v>8125.02</v>
      </c>
      <c r="G25" s="1" t="s">
        <v>36</v>
      </c>
      <c r="H25" s="2">
        <v>46207</v>
      </c>
      <c r="I25" s="1">
        <v>3</v>
      </c>
      <c r="J25" s="1" t="s">
        <v>45</v>
      </c>
      <c r="K25" s="1" t="str">
        <f>_xlfn.TEXTBEFORE(tbl_SaaS_Audit[[#This Row],[region]],"-")</f>
        <v>EU</v>
      </c>
      <c r="L25" s="8" t="str">
        <f>_xlfn.TEXTAFTER(tbl_SaaS_Audit[[#This Row],[region]],"-")</f>
        <v>CENTRAL</v>
      </c>
      <c r="M25" s="8">
        <f t="shared" si="0"/>
        <v>31</v>
      </c>
      <c r="N25" s="4">
        <f>tbl_SaaS_Audit[[#This Row],[Tenure_Months]]*tbl_SaaS_Audit[[#This Row],[Monthly_Revenue]]</f>
        <v>251875.62000000002</v>
      </c>
      <c r="O25" s="3" t="str" cm="1">
        <f t="array" ref="O2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5" s="4" cm="1">
        <f t="array" ref="P25">_xlfn.IFS(tbl_SaaS_Audit[[#This Row],[Risk_Level]]="CRITICAL RISK",tbl_SaaS_Audit[[#This Row],[Monthly_Revenue]]*12,TRUE,0)</f>
        <v>0</v>
      </c>
    </row>
    <row r="26" spans="1:16">
      <c r="A26" s="1">
        <v>25</v>
      </c>
      <c r="B26" s="1" t="s">
        <v>67</v>
      </c>
      <c r="C26" s="1" t="s">
        <v>13</v>
      </c>
      <c r="D26" s="2">
        <v>45303</v>
      </c>
      <c r="E26" s="1" t="s">
        <v>41</v>
      </c>
      <c r="F26" s="4">
        <v>8115.93</v>
      </c>
      <c r="G26" s="1" t="s">
        <v>36</v>
      </c>
      <c r="H26" s="2">
        <v>46045</v>
      </c>
      <c r="I26" s="1">
        <v>6</v>
      </c>
      <c r="J26" s="1" t="s">
        <v>37</v>
      </c>
      <c r="K26" s="1" t="str">
        <f>_xlfn.TEXTBEFORE(tbl_SaaS_Audit[[#This Row],[region]],"-")</f>
        <v>MEA</v>
      </c>
      <c r="L26" s="8" t="str">
        <f>_xlfn.TEXTAFTER(tbl_SaaS_Audit[[#This Row],[region]],"-")</f>
        <v>EGY</v>
      </c>
      <c r="M26" s="8">
        <f t="shared" si="0"/>
        <v>32</v>
      </c>
      <c r="N26" s="4">
        <f>tbl_SaaS_Audit[[#This Row],[Tenure_Months]]*tbl_SaaS_Audit[[#This Row],[Monthly_Revenue]]</f>
        <v>259709.76</v>
      </c>
      <c r="O26" s="3" t="str" cm="1">
        <f t="array" ref="O2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6" s="4" cm="1">
        <f t="array" ref="P26">_xlfn.IFS(tbl_SaaS_Audit[[#This Row],[Risk_Level]]="CRITICAL RISK",tbl_SaaS_Audit[[#This Row],[Monthly_Revenue]]*12,TRUE,0)</f>
        <v>0</v>
      </c>
    </row>
    <row r="27" spans="1:16">
      <c r="A27" s="1">
        <v>26</v>
      </c>
      <c r="B27" s="1" t="s">
        <v>68</v>
      </c>
      <c r="C27" s="1" t="s">
        <v>12</v>
      </c>
      <c r="D27" s="2">
        <v>45481</v>
      </c>
      <c r="E27" s="1" t="s">
        <v>39</v>
      </c>
      <c r="F27" s="4">
        <v>14860.81</v>
      </c>
      <c r="G27" s="1" t="s">
        <v>42</v>
      </c>
      <c r="H27" s="2">
        <v>46085</v>
      </c>
      <c r="I27" s="1">
        <v>15</v>
      </c>
      <c r="J27" s="1" t="s">
        <v>45</v>
      </c>
      <c r="K27" s="1" t="str">
        <f>_xlfn.TEXTBEFORE(tbl_SaaS_Audit[[#This Row],[region]],"-")</f>
        <v>EU</v>
      </c>
      <c r="L27" s="8" t="str">
        <f>_xlfn.TEXTAFTER(tbl_SaaS_Audit[[#This Row],[region]],"-")</f>
        <v>CENTRAL</v>
      </c>
      <c r="M27" s="8">
        <f t="shared" si="0"/>
        <v>26</v>
      </c>
      <c r="N27" s="4">
        <f>tbl_SaaS_Audit[[#This Row],[Tenure_Months]]*tbl_SaaS_Audit[[#This Row],[Monthly_Revenue]]</f>
        <v>386381.06</v>
      </c>
      <c r="O27" s="3" t="str" cm="1">
        <f t="array" ref="O2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7" s="4" cm="1">
        <f t="array" ref="P27">_xlfn.IFS(tbl_SaaS_Audit[[#This Row],[Risk_Level]]="CRITICAL RISK",tbl_SaaS_Audit[[#This Row],[Monthly_Revenue]]*12,TRUE,0)</f>
        <v>178329.72</v>
      </c>
    </row>
    <row r="28" spans="1:16">
      <c r="A28" s="1">
        <v>27</v>
      </c>
      <c r="B28" s="1" t="s">
        <v>69</v>
      </c>
      <c r="C28" s="1" t="s">
        <v>11</v>
      </c>
      <c r="D28" s="2">
        <v>45764</v>
      </c>
      <c r="E28" s="1" t="s">
        <v>39</v>
      </c>
      <c r="F28" s="4">
        <v>12739.09</v>
      </c>
      <c r="G28" s="1" t="s">
        <v>49</v>
      </c>
      <c r="H28" s="2">
        <v>45880</v>
      </c>
      <c r="I28" s="1">
        <v>11</v>
      </c>
      <c r="J28" s="1" t="s">
        <v>45</v>
      </c>
      <c r="K28" s="1" t="str">
        <f>_xlfn.TEXTBEFORE(tbl_SaaS_Audit[[#This Row],[region]],"-")</f>
        <v>EU</v>
      </c>
      <c r="L28" s="8" t="str">
        <f>_xlfn.TEXTAFTER(tbl_SaaS_Audit[[#This Row],[region]],"-")</f>
        <v>CENTRAL</v>
      </c>
      <c r="M28" s="8">
        <f t="shared" si="0"/>
        <v>17</v>
      </c>
      <c r="N28" s="4">
        <f>tbl_SaaS_Audit[[#This Row],[Tenure_Months]]*tbl_SaaS_Audit[[#This Row],[Monthly_Revenue]]</f>
        <v>216564.53</v>
      </c>
      <c r="O28" s="3" t="str" cm="1">
        <f t="array" ref="O2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" s="4" cm="1">
        <f t="array" ref="P28">_xlfn.IFS(tbl_SaaS_Audit[[#This Row],[Risk_Level]]="CRITICAL RISK",tbl_SaaS_Audit[[#This Row],[Monthly_Revenue]]*12,TRUE,0)</f>
        <v>0</v>
      </c>
    </row>
    <row r="29" spans="1:16">
      <c r="A29" s="1">
        <v>28</v>
      </c>
      <c r="B29" s="1" t="s">
        <v>70</v>
      </c>
      <c r="C29" s="1" t="s">
        <v>11</v>
      </c>
      <c r="D29" s="2">
        <v>45680</v>
      </c>
      <c r="E29" s="1" t="s">
        <v>32</v>
      </c>
      <c r="F29" s="4">
        <v>9246.6</v>
      </c>
      <c r="G29" s="1" t="s">
        <v>49</v>
      </c>
      <c r="H29" s="2">
        <v>46166</v>
      </c>
      <c r="I29" s="1">
        <v>15</v>
      </c>
      <c r="J29" s="1" t="s">
        <v>34</v>
      </c>
      <c r="K29" s="1" t="str">
        <f>_xlfn.TEXTBEFORE(tbl_SaaS_Audit[[#This Row],[region]],"-")</f>
        <v>APAC</v>
      </c>
      <c r="L29" s="8" t="str">
        <f>_xlfn.TEXTAFTER(tbl_SaaS_Audit[[#This Row],[region]],"-")</f>
        <v>SGP</v>
      </c>
      <c r="M29" s="8">
        <f t="shared" si="0"/>
        <v>20</v>
      </c>
      <c r="N29" s="4">
        <f>tbl_SaaS_Audit[[#This Row],[Tenure_Months]]*tbl_SaaS_Audit[[#This Row],[Monthly_Revenue]]</f>
        <v>184932</v>
      </c>
      <c r="O29" s="3" t="str" cm="1">
        <f t="array" ref="O2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9" s="4" cm="1">
        <f t="array" ref="P29">_xlfn.IFS(tbl_SaaS_Audit[[#This Row],[Risk_Level]]="CRITICAL RISK",tbl_SaaS_Audit[[#This Row],[Monthly_Revenue]]*12,TRUE,0)</f>
        <v>0</v>
      </c>
    </row>
    <row r="30" spans="1:16">
      <c r="A30" s="1">
        <v>29</v>
      </c>
      <c r="B30" s="1" t="s">
        <v>71</v>
      </c>
      <c r="C30" s="1" t="s">
        <v>12</v>
      </c>
      <c r="D30" s="2">
        <v>45344</v>
      </c>
      <c r="E30" s="1" t="s">
        <v>32</v>
      </c>
      <c r="F30" s="4">
        <v>12945.83</v>
      </c>
      <c r="G30" s="1" t="s">
        <v>49</v>
      </c>
      <c r="H30" s="2">
        <v>45877</v>
      </c>
      <c r="I30" s="1">
        <v>7</v>
      </c>
      <c r="J30" s="1" t="s">
        <v>37</v>
      </c>
      <c r="K30" s="1" t="str">
        <f>_xlfn.TEXTBEFORE(tbl_SaaS_Audit[[#This Row],[region]],"-")</f>
        <v>MEA</v>
      </c>
      <c r="L30" s="8" t="str">
        <f>_xlfn.TEXTAFTER(tbl_SaaS_Audit[[#This Row],[region]],"-")</f>
        <v>EGY</v>
      </c>
      <c r="M30" s="8">
        <f t="shared" si="0"/>
        <v>31</v>
      </c>
      <c r="N30" s="4">
        <f>tbl_SaaS_Audit[[#This Row],[Tenure_Months]]*tbl_SaaS_Audit[[#This Row],[Monthly_Revenue]]</f>
        <v>401320.73</v>
      </c>
      <c r="O30" s="3" t="str" cm="1">
        <f t="array" ref="O3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0" s="4" cm="1">
        <f t="array" ref="P30">_xlfn.IFS(tbl_SaaS_Audit[[#This Row],[Risk_Level]]="CRITICAL RISK",tbl_SaaS_Audit[[#This Row],[Monthly_Revenue]]*12,TRUE,0)</f>
        <v>0</v>
      </c>
    </row>
    <row r="31" spans="1:16">
      <c r="A31" s="1">
        <v>30</v>
      </c>
      <c r="B31" s="1" t="s">
        <v>72</v>
      </c>
      <c r="C31" s="1" t="s">
        <v>11</v>
      </c>
      <c r="D31" s="2">
        <v>45608</v>
      </c>
      <c r="E31" s="1" t="s">
        <v>32</v>
      </c>
      <c r="F31" s="4">
        <v>5968.91</v>
      </c>
      <c r="G31" s="1" t="s">
        <v>49</v>
      </c>
      <c r="H31" s="2">
        <v>46095</v>
      </c>
      <c r="I31" s="1">
        <v>7</v>
      </c>
      <c r="J31" s="1" t="s">
        <v>34</v>
      </c>
      <c r="K31" s="1" t="str">
        <f>_xlfn.TEXTBEFORE(tbl_SaaS_Audit[[#This Row],[region]],"-")</f>
        <v>APAC</v>
      </c>
      <c r="L31" s="8" t="str">
        <f>_xlfn.TEXTAFTER(tbl_SaaS_Audit[[#This Row],[region]],"-")</f>
        <v>SGP</v>
      </c>
      <c r="M31" s="8">
        <f t="shared" si="0"/>
        <v>22</v>
      </c>
      <c r="N31" s="4">
        <f>tbl_SaaS_Audit[[#This Row],[Tenure_Months]]*tbl_SaaS_Audit[[#This Row],[Monthly_Revenue]]</f>
        <v>131316.01999999999</v>
      </c>
      <c r="O31" s="3" t="str" cm="1">
        <f t="array" ref="O3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1" s="4" cm="1">
        <f t="array" ref="P31">_xlfn.IFS(tbl_SaaS_Audit[[#This Row],[Risk_Level]]="CRITICAL RISK",tbl_SaaS_Audit[[#This Row],[Monthly_Revenue]]*12,TRUE,0)</f>
        <v>0</v>
      </c>
    </row>
    <row r="32" spans="1:16">
      <c r="A32" s="1">
        <v>31</v>
      </c>
      <c r="B32" s="1" t="s">
        <v>73</v>
      </c>
      <c r="C32" s="1" t="s">
        <v>12</v>
      </c>
      <c r="D32" s="2">
        <v>45623</v>
      </c>
      <c r="E32" s="1" t="s">
        <v>41</v>
      </c>
      <c r="F32" s="4">
        <v>10656.96</v>
      </c>
      <c r="G32" s="1" t="s">
        <v>36</v>
      </c>
      <c r="H32" s="2">
        <v>46209</v>
      </c>
      <c r="I32" s="1">
        <v>3</v>
      </c>
      <c r="J32" s="1" t="s">
        <v>51</v>
      </c>
      <c r="K32" s="1" t="str">
        <f>_xlfn.TEXTBEFORE(tbl_SaaS_Audit[[#This Row],[region]],"-")</f>
        <v>NA</v>
      </c>
      <c r="L32" s="8" t="str">
        <f>_xlfn.TEXTAFTER(tbl_SaaS_Audit[[#This Row],[region]],"-")</f>
        <v>EAST</v>
      </c>
      <c r="M32" s="8">
        <f t="shared" si="0"/>
        <v>22</v>
      </c>
      <c r="N32" s="4">
        <f>tbl_SaaS_Audit[[#This Row],[Tenure_Months]]*tbl_SaaS_Audit[[#This Row],[Monthly_Revenue]]</f>
        <v>234453.12</v>
      </c>
      <c r="O32" s="3" t="str" cm="1">
        <f t="array" ref="O3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2" s="4" cm="1">
        <f t="array" ref="P32">_xlfn.IFS(tbl_SaaS_Audit[[#This Row],[Risk_Level]]="CRITICAL RISK",tbl_SaaS_Audit[[#This Row],[Monthly_Revenue]]*12,TRUE,0)</f>
        <v>0</v>
      </c>
    </row>
    <row r="33" spans="1:16">
      <c r="A33" s="1">
        <v>32</v>
      </c>
      <c r="B33" s="1" t="s">
        <v>74</v>
      </c>
      <c r="C33" s="1" t="s">
        <v>15</v>
      </c>
      <c r="D33" s="2">
        <v>45708</v>
      </c>
      <c r="E33" s="1" t="s">
        <v>41</v>
      </c>
      <c r="F33" s="4">
        <v>867.37</v>
      </c>
      <c r="G33" s="1" t="s">
        <v>36</v>
      </c>
      <c r="H33" s="1"/>
      <c r="I33" s="1">
        <v>2</v>
      </c>
      <c r="J33" s="1" t="s">
        <v>37</v>
      </c>
      <c r="K33" s="1" t="str">
        <f>_xlfn.TEXTBEFORE(tbl_SaaS_Audit[[#This Row],[region]],"-")</f>
        <v>MEA</v>
      </c>
      <c r="L33" s="8" t="str">
        <f>_xlfn.TEXTAFTER(tbl_SaaS_Audit[[#This Row],[region]],"-")</f>
        <v>EGY</v>
      </c>
      <c r="M33" s="8">
        <f t="shared" si="0"/>
        <v>19</v>
      </c>
      <c r="N33" s="4">
        <f>tbl_SaaS_Audit[[#This Row],[Tenure_Months]]*tbl_SaaS_Audit[[#This Row],[Monthly_Revenue]]</f>
        <v>16480.03</v>
      </c>
      <c r="O33" s="3" t="str" cm="1">
        <f t="array" ref="O3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3" s="4" cm="1">
        <f t="array" ref="P33">_xlfn.IFS(tbl_SaaS_Audit[[#This Row],[Risk_Level]]="CRITICAL RISK",tbl_SaaS_Audit[[#This Row],[Monthly_Revenue]]*12,TRUE,0)</f>
        <v>0</v>
      </c>
    </row>
    <row r="34" spans="1:16">
      <c r="A34" s="1">
        <v>33</v>
      </c>
      <c r="B34" s="1" t="s">
        <v>75</v>
      </c>
      <c r="C34" s="1" t="s">
        <v>11</v>
      </c>
      <c r="D34" s="2">
        <v>45377</v>
      </c>
      <c r="E34" s="1" t="s">
        <v>41</v>
      </c>
      <c r="F34" s="4">
        <v>5444.34</v>
      </c>
      <c r="G34" s="1" t="s">
        <v>33</v>
      </c>
      <c r="H34" s="2">
        <v>45840</v>
      </c>
      <c r="I34" s="1">
        <v>12</v>
      </c>
      <c r="J34" s="1" t="s">
        <v>47</v>
      </c>
      <c r="K34" s="1" t="str">
        <f>_xlfn.TEXTBEFORE(tbl_SaaS_Audit[[#This Row],[region]],"-")</f>
        <v>NA</v>
      </c>
      <c r="L34" s="8" t="str">
        <f>_xlfn.TEXTAFTER(tbl_SaaS_Audit[[#This Row],[region]],"-")</f>
        <v>WEST</v>
      </c>
      <c r="M34" s="8">
        <f t="shared" si="0"/>
        <v>16</v>
      </c>
      <c r="N34" s="4">
        <f>tbl_SaaS_Audit[[#This Row],[Tenure_Months]]*tbl_SaaS_Audit[[#This Row],[Monthly_Revenue]]</f>
        <v>87109.440000000002</v>
      </c>
      <c r="O34" s="3" t="str" cm="1">
        <f t="array" ref="O3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4" s="4" cm="1">
        <f t="array" ref="P34">_xlfn.IFS(tbl_SaaS_Audit[[#This Row],[Risk_Level]]="CRITICAL RISK",tbl_SaaS_Audit[[#This Row],[Monthly_Revenue]]*12,TRUE,0)</f>
        <v>0</v>
      </c>
    </row>
    <row r="35" spans="1:16">
      <c r="A35" s="1">
        <v>34</v>
      </c>
      <c r="B35" s="1" t="s">
        <v>76</v>
      </c>
      <c r="C35" s="1" t="s">
        <v>11</v>
      </c>
      <c r="D35" s="2">
        <v>45831</v>
      </c>
      <c r="E35" s="1" t="s">
        <v>41</v>
      </c>
      <c r="F35" s="4">
        <v>7885.79</v>
      </c>
      <c r="G35" s="1" t="s">
        <v>49</v>
      </c>
      <c r="H35" s="2">
        <v>45922</v>
      </c>
      <c r="I35" s="1">
        <v>3</v>
      </c>
      <c r="J35" s="1" t="s">
        <v>51</v>
      </c>
      <c r="K35" s="1" t="str">
        <f>_xlfn.TEXTBEFORE(tbl_SaaS_Audit[[#This Row],[region]],"-")</f>
        <v>NA</v>
      </c>
      <c r="L35" s="8" t="str">
        <f>_xlfn.TEXTAFTER(tbl_SaaS_Audit[[#This Row],[region]],"-")</f>
        <v>EAST</v>
      </c>
      <c r="M35" s="8">
        <f t="shared" si="0"/>
        <v>15</v>
      </c>
      <c r="N35" s="4">
        <f>tbl_SaaS_Audit[[#This Row],[Tenure_Months]]*tbl_SaaS_Audit[[#This Row],[Monthly_Revenue]]</f>
        <v>118286.85</v>
      </c>
      <c r="O35" s="3" t="str" cm="1">
        <f t="array" ref="O3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5" s="4" cm="1">
        <f t="array" ref="P35">_xlfn.IFS(tbl_SaaS_Audit[[#This Row],[Risk_Level]]="CRITICAL RISK",tbl_SaaS_Audit[[#This Row],[Monthly_Revenue]]*12,TRUE,0)</f>
        <v>0</v>
      </c>
    </row>
    <row r="36" spans="1:16">
      <c r="A36" s="1">
        <v>35</v>
      </c>
      <c r="B36" s="1" t="s">
        <v>77</v>
      </c>
      <c r="C36" s="1" t="s">
        <v>14</v>
      </c>
      <c r="D36" s="2">
        <v>45530</v>
      </c>
      <c r="E36" s="1" t="s">
        <v>41</v>
      </c>
      <c r="F36" s="4">
        <v>6582.89</v>
      </c>
      <c r="G36" s="1" t="s">
        <v>49</v>
      </c>
      <c r="H36" s="2">
        <v>46236</v>
      </c>
      <c r="I36" s="1">
        <v>4</v>
      </c>
      <c r="J36" s="1" t="s">
        <v>45</v>
      </c>
      <c r="K36" s="1" t="str">
        <f>_xlfn.TEXTBEFORE(tbl_SaaS_Audit[[#This Row],[region]],"-")</f>
        <v>EU</v>
      </c>
      <c r="L36" s="8" t="str">
        <f>_xlfn.TEXTAFTER(tbl_SaaS_Audit[[#This Row],[region]],"-")</f>
        <v>CENTRAL</v>
      </c>
      <c r="M36" s="8">
        <f t="shared" si="0"/>
        <v>25</v>
      </c>
      <c r="N36" s="4">
        <f>tbl_SaaS_Audit[[#This Row],[Tenure_Months]]*tbl_SaaS_Audit[[#This Row],[Monthly_Revenue]]</f>
        <v>164572.25</v>
      </c>
      <c r="O36" s="3" t="str" cm="1">
        <f t="array" ref="O3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6" s="4" cm="1">
        <f t="array" ref="P36">_xlfn.IFS(tbl_SaaS_Audit[[#This Row],[Risk_Level]]="CRITICAL RISK",tbl_SaaS_Audit[[#This Row],[Monthly_Revenue]]*12,TRUE,0)</f>
        <v>0</v>
      </c>
    </row>
    <row r="37" spans="1:16">
      <c r="A37" s="1">
        <v>36</v>
      </c>
      <c r="B37" s="1" t="s">
        <v>78</v>
      </c>
      <c r="C37" s="1" t="s">
        <v>15</v>
      </c>
      <c r="D37" s="2">
        <v>45329</v>
      </c>
      <c r="E37" s="1" t="s">
        <v>39</v>
      </c>
      <c r="F37" s="4">
        <v>14700.27</v>
      </c>
      <c r="G37" s="1" t="s">
        <v>33</v>
      </c>
      <c r="H37" s="2">
        <v>45880</v>
      </c>
      <c r="I37" s="1">
        <v>8</v>
      </c>
      <c r="J37" s="1" t="s">
        <v>45</v>
      </c>
      <c r="K37" s="1" t="str">
        <f>_xlfn.TEXTBEFORE(tbl_SaaS_Audit[[#This Row],[region]],"-")</f>
        <v>EU</v>
      </c>
      <c r="L37" s="8" t="str">
        <f>_xlfn.TEXTAFTER(tbl_SaaS_Audit[[#This Row],[region]],"-")</f>
        <v>CENTRAL</v>
      </c>
      <c r="M37" s="8">
        <f t="shared" si="0"/>
        <v>18</v>
      </c>
      <c r="N37" s="4">
        <f>tbl_SaaS_Audit[[#This Row],[Tenure_Months]]*tbl_SaaS_Audit[[#This Row],[Monthly_Revenue]]</f>
        <v>264604.86</v>
      </c>
      <c r="O37" s="3" t="str" cm="1">
        <f t="array" ref="O3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7" s="4" cm="1">
        <f t="array" ref="P37">_xlfn.IFS(tbl_SaaS_Audit[[#This Row],[Risk_Level]]="CRITICAL RISK",tbl_SaaS_Audit[[#This Row],[Monthly_Revenue]]*12,TRUE,0)</f>
        <v>0</v>
      </c>
    </row>
    <row r="38" spans="1:16">
      <c r="A38" s="1">
        <v>37</v>
      </c>
      <c r="B38" s="1" t="s">
        <v>79</v>
      </c>
      <c r="C38" s="1" t="s">
        <v>13</v>
      </c>
      <c r="D38" s="2">
        <v>45765</v>
      </c>
      <c r="E38" s="1" t="s">
        <v>41</v>
      </c>
      <c r="F38" s="4">
        <v>13800.26</v>
      </c>
      <c r="G38" s="1" t="s">
        <v>42</v>
      </c>
      <c r="H38" s="2">
        <v>45902</v>
      </c>
      <c r="I38" s="1">
        <v>17</v>
      </c>
      <c r="J38" s="1" t="s">
        <v>37</v>
      </c>
      <c r="K38" s="1" t="str">
        <f>_xlfn.TEXTBEFORE(tbl_SaaS_Audit[[#This Row],[region]],"-")</f>
        <v>MEA</v>
      </c>
      <c r="L38" s="8" t="str">
        <f>_xlfn.TEXTAFTER(tbl_SaaS_Audit[[#This Row],[region]],"-")</f>
        <v>EGY</v>
      </c>
      <c r="M38" s="8">
        <f t="shared" si="0"/>
        <v>17</v>
      </c>
      <c r="N38" s="4">
        <f>tbl_SaaS_Audit[[#This Row],[Tenure_Months]]*tbl_SaaS_Audit[[#This Row],[Monthly_Revenue]]</f>
        <v>234604.42</v>
      </c>
      <c r="O38" s="3" t="str" cm="1">
        <f t="array" ref="O3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8" s="4" cm="1">
        <f t="array" ref="P38">_xlfn.IFS(tbl_SaaS_Audit[[#This Row],[Risk_Level]]="CRITICAL RISK",tbl_SaaS_Audit[[#This Row],[Monthly_Revenue]]*12,TRUE,0)</f>
        <v>165603.12</v>
      </c>
    </row>
    <row r="39" spans="1:16">
      <c r="A39" s="1">
        <v>38</v>
      </c>
      <c r="B39" s="1" t="s">
        <v>80</v>
      </c>
      <c r="C39" s="1" t="s">
        <v>11</v>
      </c>
      <c r="D39" s="2">
        <v>45761</v>
      </c>
      <c r="E39" s="1" t="s">
        <v>32</v>
      </c>
      <c r="F39" s="4">
        <v>12917.67</v>
      </c>
      <c r="G39" s="1" t="s">
        <v>36</v>
      </c>
      <c r="H39" s="2">
        <v>46065</v>
      </c>
      <c r="I39" s="1">
        <v>3</v>
      </c>
      <c r="J39" s="1" t="s">
        <v>34</v>
      </c>
      <c r="K39" s="1" t="str">
        <f>_xlfn.TEXTBEFORE(tbl_SaaS_Audit[[#This Row],[region]],"-")</f>
        <v>APAC</v>
      </c>
      <c r="L39" s="8" t="str">
        <f>_xlfn.TEXTAFTER(tbl_SaaS_Audit[[#This Row],[region]],"-")</f>
        <v>SGP</v>
      </c>
      <c r="M39" s="8">
        <f t="shared" si="0"/>
        <v>17</v>
      </c>
      <c r="N39" s="4">
        <f>tbl_SaaS_Audit[[#This Row],[Tenure_Months]]*tbl_SaaS_Audit[[#This Row],[Monthly_Revenue]]</f>
        <v>219600.39</v>
      </c>
      <c r="O39" s="3" t="str" cm="1">
        <f t="array" ref="O3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9" s="4" cm="1">
        <f t="array" ref="P39">_xlfn.IFS(tbl_SaaS_Audit[[#This Row],[Risk_Level]]="CRITICAL RISK",tbl_SaaS_Audit[[#This Row],[Monthly_Revenue]]*12,TRUE,0)</f>
        <v>0</v>
      </c>
    </row>
    <row r="40" spans="1:16">
      <c r="A40" s="1">
        <v>39</v>
      </c>
      <c r="B40" s="1" t="s">
        <v>81</v>
      </c>
      <c r="C40" s="1" t="s">
        <v>13</v>
      </c>
      <c r="D40" s="2">
        <v>45717</v>
      </c>
      <c r="E40" s="1" t="s">
        <v>39</v>
      </c>
      <c r="F40" s="4">
        <v>13404.08</v>
      </c>
      <c r="G40" s="1" t="s">
        <v>33</v>
      </c>
      <c r="H40" s="1"/>
      <c r="I40" s="1">
        <v>9</v>
      </c>
      <c r="J40" s="1" t="s">
        <v>37</v>
      </c>
      <c r="K40" s="1" t="str">
        <f>_xlfn.TEXTBEFORE(tbl_SaaS_Audit[[#This Row],[region]],"-")</f>
        <v>MEA</v>
      </c>
      <c r="L40" s="8" t="str">
        <f>_xlfn.TEXTAFTER(tbl_SaaS_Audit[[#This Row],[region]],"-")</f>
        <v>EGY</v>
      </c>
      <c r="M40" s="8">
        <f t="shared" si="0"/>
        <v>18</v>
      </c>
      <c r="N40" s="4">
        <f>tbl_SaaS_Audit[[#This Row],[Tenure_Months]]*tbl_SaaS_Audit[[#This Row],[Monthly_Revenue]]</f>
        <v>241273.44</v>
      </c>
      <c r="O40" s="3" t="str" cm="1">
        <f t="array" ref="O4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0" s="4" cm="1">
        <f t="array" ref="P40">_xlfn.IFS(tbl_SaaS_Audit[[#This Row],[Risk_Level]]="CRITICAL RISK",tbl_SaaS_Audit[[#This Row],[Monthly_Revenue]]*12,TRUE,0)</f>
        <v>0</v>
      </c>
    </row>
    <row r="41" spans="1:16">
      <c r="A41" s="1">
        <v>40</v>
      </c>
      <c r="B41" s="1" t="s">
        <v>82</v>
      </c>
      <c r="C41" s="1" t="s">
        <v>14</v>
      </c>
      <c r="D41" s="2">
        <v>45312</v>
      </c>
      <c r="E41" s="1" t="s">
        <v>39</v>
      </c>
      <c r="F41" s="4">
        <v>14780.01</v>
      </c>
      <c r="G41" s="1" t="s">
        <v>36</v>
      </c>
      <c r="H41" s="2">
        <v>46235</v>
      </c>
      <c r="I41" s="1">
        <v>4</v>
      </c>
      <c r="J41" s="1" t="s">
        <v>45</v>
      </c>
      <c r="K41" s="1" t="str">
        <f>_xlfn.TEXTBEFORE(tbl_SaaS_Audit[[#This Row],[region]],"-")</f>
        <v>EU</v>
      </c>
      <c r="L41" s="8" t="str">
        <f>_xlfn.TEXTAFTER(tbl_SaaS_Audit[[#This Row],[region]],"-")</f>
        <v>CENTRAL</v>
      </c>
      <c r="M41" s="8">
        <f t="shared" si="0"/>
        <v>32</v>
      </c>
      <c r="N41" s="4">
        <f>tbl_SaaS_Audit[[#This Row],[Tenure_Months]]*tbl_SaaS_Audit[[#This Row],[Monthly_Revenue]]</f>
        <v>472960.32</v>
      </c>
      <c r="O41" s="3" t="str" cm="1">
        <f t="array" ref="O4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1" s="4" cm="1">
        <f t="array" ref="P41">_xlfn.IFS(tbl_SaaS_Audit[[#This Row],[Risk_Level]]="CRITICAL RISK",tbl_SaaS_Audit[[#This Row],[Monthly_Revenue]]*12,TRUE,0)</f>
        <v>0</v>
      </c>
    </row>
    <row r="42" spans="1:16">
      <c r="A42" s="1">
        <v>41</v>
      </c>
      <c r="B42" s="1" t="s">
        <v>83</v>
      </c>
      <c r="C42" s="1" t="s">
        <v>11</v>
      </c>
      <c r="D42" s="2">
        <v>45618</v>
      </c>
      <c r="E42" s="1" t="s">
        <v>41</v>
      </c>
      <c r="F42" s="4">
        <v>623.39</v>
      </c>
      <c r="G42" s="1" t="s">
        <v>33</v>
      </c>
      <c r="H42" s="2">
        <v>45869</v>
      </c>
      <c r="I42" s="1">
        <v>4</v>
      </c>
      <c r="J42" s="1" t="s">
        <v>34</v>
      </c>
      <c r="K42" s="1" t="str">
        <f>_xlfn.TEXTBEFORE(tbl_SaaS_Audit[[#This Row],[region]],"-")</f>
        <v>APAC</v>
      </c>
      <c r="L42" s="8" t="str">
        <f>_xlfn.TEXTAFTER(tbl_SaaS_Audit[[#This Row],[region]],"-")</f>
        <v>SGP</v>
      </c>
      <c r="M42" s="8">
        <f t="shared" si="0"/>
        <v>8</v>
      </c>
      <c r="N42" s="4">
        <f>tbl_SaaS_Audit[[#This Row],[Tenure_Months]]*tbl_SaaS_Audit[[#This Row],[Monthly_Revenue]]</f>
        <v>4987.12</v>
      </c>
      <c r="O42" s="3" t="str" cm="1">
        <f t="array" ref="O4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2" s="4" cm="1">
        <f t="array" ref="P42">_xlfn.IFS(tbl_SaaS_Audit[[#This Row],[Risk_Level]]="CRITICAL RISK",tbl_SaaS_Audit[[#This Row],[Monthly_Revenue]]*12,TRUE,0)</f>
        <v>0</v>
      </c>
    </row>
    <row r="43" spans="1:16">
      <c r="A43" s="1">
        <v>42</v>
      </c>
      <c r="B43" s="1" t="s">
        <v>84</v>
      </c>
      <c r="C43" s="1" t="s">
        <v>12</v>
      </c>
      <c r="D43" s="2">
        <v>45681</v>
      </c>
      <c r="E43" s="1" t="s">
        <v>32</v>
      </c>
      <c r="F43" s="4">
        <v>10889.43</v>
      </c>
      <c r="G43" s="1" t="s">
        <v>49</v>
      </c>
      <c r="H43" s="2">
        <v>45935</v>
      </c>
      <c r="I43" s="1">
        <v>12</v>
      </c>
      <c r="J43" s="1" t="s">
        <v>34</v>
      </c>
      <c r="K43" s="1" t="str">
        <f>_xlfn.TEXTBEFORE(tbl_SaaS_Audit[[#This Row],[region]],"-")</f>
        <v>APAC</v>
      </c>
      <c r="L43" s="8" t="str">
        <f>_xlfn.TEXTAFTER(tbl_SaaS_Audit[[#This Row],[region]],"-")</f>
        <v>SGP</v>
      </c>
      <c r="M43" s="8">
        <f t="shared" si="0"/>
        <v>20</v>
      </c>
      <c r="N43" s="4">
        <f>tbl_SaaS_Audit[[#This Row],[Tenure_Months]]*tbl_SaaS_Audit[[#This Row],[Monthly_Revenue]]</f>
        <v>217788.6</v>
      </c>
      <c r="O43" s="3" t="str" cm="1">
        <f t="array" ref="O4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3" s="4" cm="1">
        <f t="array" ref="P43">_xlfn.IFS(tbl_SaaS_Audit[[#This Row],[Risk_Level]]="CRITICAL RISK",tbl_SaaS_Audit[[#This Row],[Monthly_Revenue]]*12,TRUE,0)</f>
        <v>0</v>
      </c>
    </row>
    <row r="44" spans="1:16">
      <c r="A44" s="1">
        <v>43</v>
      </c>
      <c r="B44" s="1" t="s">
        <v>85</v>
      </c>
      <c r="C44" s="1" t="s">
        <v>13</v>
      </c>
      <c r="D44" s="2">
        <v>45323</v>
      </c>
      <c r="E44" s="1" t="s">
        <v>39</v>
      </c>
      <c r="F44" s="4">
        <v>6761.11</v>
      </c>
      <c r="G44" s="1" t="s">
        <v>49</v>
      </c>
      <c r="H44" s="2">
        <v>46148</v>
      </c>
      <c r="I44" s="1">
        <v>9</v>
      </c>
      <c r="J44" s="1" t="s">
        <v>37</v>
      </c>
      <c r="K44" s="1" t="str">
        <f>_xlfn.TEXTBEFORE(tbl_SaaS_Audit[[#This Row],[region]],"-")</f>
        <v>MEA</v>
      </c>
      <c r="L44" s="8" t="str">
        <f>_xlfn.TEXTAFTER(tbl_SaaS_Audit[[#This Row],[region]],"-")</f>
        <v>EGY</v>
      </c>
      <c r="M44" s="8">
        <f t="shared" si="0"/>
        <v>31</v>
      </c>
      <c r="N44" s="4">
        <f>tbl_SaaS_Audit[[#This Row],[Tenure_Months]]*tbl_SaaS_Audit[[#This Row],[Monthly_Revenue]]</f>
        <v>209594.41</v>
      </c>
      <c r="O44" s="3" t="str" cm="1">
        <f t="array" ref="O4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4" s="4" cm="1">
        <f t="array" ref="P44">_xlfn.IFS(tbl_SaaS_Audit[[#This Row],[Risk_Level]]="CRITICAL RISK",tbl_SaaS_Audit[[#This Row],[Monthly_Revenue]]*12,TRUE,0)</f>
        <v>0</v>
      </c>
    </row>
    <row r="45" spans="1:16">
      <c r="A45" s="1">
        <v>44</v>
      </c>
      <c r="B45" s="1" t="s">
        <v>86</v>
      </c>
      <c r="C45" s="1" t="s">
        <v>15</v>
      </c>
      <c r="D45" s="2">
        <v>45415</v>
      </c>
      <c r="E45" s="1" t="s">
        <v>39</v>
      </c>
      <c r="F45" s="4">
        <v>8554.2199999999993</v>
      </c>
      <c r="G45" s="1" t="s">
        <v>33</v>
      </c>
      <c r="H45" s="2">
        <v>46100</v>
      </c>
      <c r="I45" s="1">
        <v>5</v>
      </c>
      <c r="J45" s="1" t="s">
        <v>47</v>
      </c>
      <c r="K45" s="1" t="str">
        <f>_xlfn.TEXTBEFORE(tbl_SaaS_Audit[[#This Row],[region]],"-")</f>
        <v>NA</v>
      </c>
      <c r="L45" s="8" t="str">
        <f>_xlfn.TEXTAFTER(tbl_SaaS_Audit[[#This Row],[region]],"-")</f>
        <v>WEST</v>
      </c>
      <c r="M45" s="8">
        <f t="shared" si="0"/>
        <v>22</v>
      </c>
      <c r="N45" s="4">
        <f>tbl_SaaS_Audit[[#This Row],[Tenure_Months]]*tbl_SaaS_Audit[[#This Row],[Monthly_Revenue]]</f>
        <v>188192.84</v>
      </c>
      <c r="O45" s="3" t="str" cm="1">
        <f t="array" ref="O4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5" s="4" cm="1">
        <f t="array" ref="P45">_xlfn.IFS(tbl_SaaS_Audit[[#This Row],[Risk_Level]]="CRITICAL RISK",tbl_SaaS_Audit[[#This Row],[Monthly_Revenue]]*12,TRUE,0)</f>
        <v>0</v>
      </c>
    </row>
    <row r="46" spans="1:16">
      <c r="A46" s="1">
        <v>45</v>
      </c>
      <c r="B46" s="1" t="s">
        <v>87</v>
      </c>
      <c r="C46" s="1" t="s">
        <v>11</v>
      </c>
      <c r="D46" s="2">
        <v>45620</v>
      </c>
      <c r="E46" s="1" t="s">
        <v>39</v>
      </c>
      <c r="F46" s="4">
        <v>9707.06</v>
      </c>
      <c r="G46" s="1" t="s">
        <v>49</v>
      </c>
      <c r="H46" s="2">
        <v>46193</v>
      </c>
      <c r="I46" s="1">
        <v>10</v>
      </c>
      <c r="J46" s="1" t="s">
        <v>45</v>
      </c>
      <c r="K46" s="1" t="str">
        <f>_xlfn.TEXTBEFORE(tbl_SaaS_Audit[[#This Row],[region]],"-")</f>
        <v>EU</v>
      </c>
      <c r="L46" s="8" t="str">
        <f>_xlfn.TEXTAFTER(tbl_SaaS_Audit[[#This Row],[region]],"-")</f>
        <v>CENTRAL</v>
      </c>
      <c r="M46" s="8">
        <f t="shared" si="0"/>
        <v>22</v>
      </c>
      <c r="N46" s="4">
        <f>tbl_SaaS_Audit[[#This Row],[Tenure_Months]]*tbl_SaaS_Audit[[#This Row],[Monthly_Revenue]]</f>
        <v>213555.31999999998</v>
      </c>
      <c r="O46" s="3" t="str" cm="1">
        <f t="array" ref="O4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6" s="4" cm="1">
        <f t="array" ref="P46">_xlfn.IFS(tbl_SaaS_Audit[[#This Row],[Risk_Level]]="CRITICAL RISK",tbl_SaaS_Audit[[#This Row],[Monthly_Revenue]]*12,TRUE,0)</f>
        <v>0</v>
      </c>
    </row>
    <row r="47" spans="1:16">
      <c r="A47" s="1">
        <v>46</v>
      </c>
      <c r="B47" s="1" t="s">
        <v>88</v>
      </c>
      <c r="C47" s="1" t="s">
        <v>14</v>
      </c>
      <c r="D47" s="2">
        <v>45368</v>
      </c>
      <c r="E47" s="1" t="s">
        <v>39</v>
      </c>
      <c r="F47" s="4">
        <v>8153.01</v>
      </c>
      <c r="G47" s="1" t="s">
        <v>36</v>
      </c>
      <c r="H47" s="2">
        <v>46001</v>
      </c>
      <c r="I47" s="1">
        <v>8</v>
      </c>
      <c r="J47" s="1" t="s">
        <v>45</v>
      </c>
      <c r="K47" s="1" t="str">
        <f>_xlfn.TEXTBEFORE(tbl_SaaS_Audit[[#This Row],[region]],"-")</f>
        <v>EU</v>
      </c>
      <c r="L47" s="8" t="str">
        <f>_xlfn.TEXTAFTER(tbl_SaaS_Audit[[#This Row],[region]],"-")</f>
        <v>CENTRAL</v>
      </c>
      <c r="M47" s="8">
        <f t="shared" si="0"/>
        <v>30</v>
      </c>
      <c r="N47" s="4">
        <f>tbl_SaaS_Audit[[#This Row],[Tenure_Months]]*tbl_SaaS_Audit[[#This Row],[Monthly_Revenue]]</f>
        <v>244590.30000000002</v>
      </c>
      <c r="O47" s="3" t="str" cm="1">
        <f t="array" ref="O4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7" s="4" cm="1">
        <f t="array" ref="P47">_xlfn.IFS(tbl_SaaS_Audit[[#This Row],[Risk_Level]]="CRITICAL RISK",tbl_SaaS_Audit[[#This Row],[Monthly_Revenue]]*12,TRUE,0)</f>
        <v>0</v>
      </c>
    </row>
    <row r="48" spans="1:16">
      <c r="A48" s="1">
        <v>47</v>
      </c>
      <c r="B48" s="1" t="s">
        <v>89</v>
      </c>
      <c r="C48" s="1" t="s">
        <v>12</v>
      </c>
      <c r="D48" s="2">
        <v>45642</v>
      </c>
      <c r="E48" s="1" t="s">
        <v>39</v>
      </c>
      <c r="F48" s="4">
        <v>3306.3</v>
      </c>
      <c r="G48" s="1" t="s">
        <v>36</v>
      </c>
      <c r="H48" s="2">
        <v>46151</v>
      </c>
      <c r="I48" s="1">
        <v>18</v>
      </c>
      <c r="J48" s="1" t="s">
        <v>34</v>
      </c>
      <c r="K48" s="1" t="str">
        <f>_xlfn.TEXTBEFORE(tbl_SaaS_Audit[[#This Row],[region]],"-")</f>
        <v>APAC</v>
      </c>
      <c r="L48" s="8" t="str">
        <f>_xlfn.TEXTAFTER(tbl_SaaS_Audit[[#This Row],[region]],"-")</f>
        <v>SGP</v>
      </c>
      <c r="M48" s="8">
        <f t="shared" si="0"/>
        <v>21</v>
      </c>
      <c r="N48" s="4">
        <f>tbl_SaaS_Audit[[#This Row],[Tenure_Months]]*tbl_SaaS_Audit[[#This Row],[Monthly_Revenue]]</f>
        <v>69432.3</v>
      </c>
      <c r="O48" s="3" t="str" cm="1">
        <f t="array" ref="O4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8" s="4" cm="1">
        <f t="array" ref="P48">_xlfn.IFS(tbl_SaaS_Audit[[#This Row],[Risk_Level]]="CRITICAL RISK",tbl_SaaS_Audit[[#This Row],[Monthly_Revenue]]*12,TRUE,0)</f>
        <v>0</v>
      </c>
    </row>
    <row r="49" spans="1:16">
      <c r="A49" s="1">
        <v>48</v>
      </c>
      <c r="B49" s="1" t="s">
        <v>90</v>
      </c>
      <c r="C49" s="1" t="s">
        <v>13</v>
      </c>
      <c r="D49" s="2">
        <v>45670</v>
      </c>
      <c r="E49" s="1" t="s">
        <v>39</v>
      </c>
      <c r="F49" s="4">
        <v>3400.96</v>
      </c>
      <c r="G49" s="1" t="s">
        <v>33</v>
      </c>
      <c r="H49" s="2">
        <v>46253</v>
      </c>
      <c r="I49" s="1">
        <v>14</v>
      </c>
      <c r="J49" s="1" t="s">
        <v>34</v>
      </c>
      <c r="K49" s="1" t="str">
        <f>_xlfn.TEXTBEFORE(tbl_SaaS_Audit[[#This Row],[region]],"-")</f>
        <v>APAC</v>
      </c>
      <c r="L49" s="8" t="str">
        <f>_xlfn.TEXTAFTER(tbl_SaaS_Audit[[#This Row],[region]],"-")</f>
        <v>SGP</v>
      </c>
      <c r="M49" s="8">
        <f t="shared" si="0"/>
        <v>19</v>
      </c>
      <c r="N49" s="4">
        <f>tbl_SaaS_Audit[[#This Row],[Tenure_Months]]*tbl_SaaS_Audit[[#This Row],[Monthly_Revenue]]</f>
        <v>64618.239999999998</v>
      </c>
      <c r="O49" s="3" t="str" cm="1">
        <f t="array" ref="O4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9" s="4" cm="1">
        <f t="array" ref="P49">_xlfn.IFS(tbl_SaaS_Audit[[#This Row],[Risk_Level]]="CRITICAL RISK",tbl_SaaS_Audit[[#This Row],[Monthly_Revenue]]*12,TRUE,0)</f>
        <v>0</v>
      </c>
    </row>
    <row r="50" spans="1:16">
      <c r="A50" s="1">
        <v>49</v>
      </c>
      <c r="B50" s="1" t="s">
        <v>91</v>
      </c>
      <c r="C50" s="1" t="s">
        <v>12</v>
      </c>
      <c r="D50" s="2">
        <v>45427</v>
      </c>
      <c r="E50" s="1" t="s">
        <v>39</v>
      </c>
      <c r="F50" s="4">
        <v>13370.2</v>
      </c>
      <c r="G50" s="1" t="s">
        <v>49</v>
      </c>
      <c r="H50" s="2">
        <v>45855</v>
      </c>
      <c r="I50" s="1">
        <v>16</v>
      </c>
      <c r="J50" s="1" t="s">
        <v>45</v>
      </c>
      <c r="K50" s="1" t="str">
        <f>_xlfn.TEXTBEFORE(tbl_SaaS_Audit[[#This Row],[region]],"-")</f>
        <v>EU</v>
      </c>
      <c r="L50" s="8" t="str">
        <f>_xlfn.TEXTAFTER(tbl_SaaS_Audit[[#This Row],[region]],"-")</f>
        <v>CENTRAL</v>
      </c>
      <c r="M50" s="8">
        <f t="shared" si="0"/>
        <v>28</v>
      </c>
      <c r="N50" s="4">
        <f>tbl_SaaS_Audit[[#This Row],[Tenure_Months]]*tbl_SaaS_Audit[[#This Row],[Monthly_Revenue]]</f>
        <v>374365.60000000003</v>
      </c>
      <c r="O50" s="3" t="str" cm="1">
        <f t="array" ref="O5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" s="4" cm="1">
        <f t="array" ref="P50">_xlfn.IFS(tbl_SaaS_Audit[[#This Row],[Risk_Level]]="CRITICAL RISK",tbl_SaaS_Audit[[#This Row],[Monthly_Revenue]]*12,TRUE,0)</f>
        <v>0</v>
      </c>
    </row>
    <row r="51" spans="1:16">
      <c r="A51" s="1">
        <v>50</v>
      </c>
      <c r="B51" s="1" t="s">
        <v>92</v>
      </c>
      <c r="C51" s="1" t="s">
        <v>15</v>
      </c>
      <c r="D51" s="2">
        <v>45826</v>
      </c>
      <c r="E51" s="1" t="s">
        <v>39</v>
      </c>
      <c r="F51" s="4">
        <v>2557.0700000000002</v>
      </c>
      <c r="G51" s="1" t="s">
        <v>36</v>
      </c>
      <c r="H51" s="2">
        <v>46184</v>
      </c>
      <c r="I51" s="1">
        <v>8</v>
      </c>
      <c r="J51" s="1" t="s">
        <v>51</v>
      </c>
      <c r="K51" s="1" t="str">
        <f>_xlfn.TEXTBEFORE(tbl_SaaS_Audit[[#This Row],[region]],"-")</f>
        <v>NA</v>
      </c>
      <c r="L51" s="8" t="str">
        <f>_xlfn.TEXTAFTER(tbl_SaaS_Audit[[#This Row],[region]],"-")</f>
        <v>EAST</v>
      </c>
      <c r="M51" s="8">
        <f t="shared" si="0"/>
        <v>15</v>
      </c>
      <c r="N51" s="4">
        <f>tbl_SaaS_Audit[[#This Row],[Tenure_Months]]*tbl_SaaS_Audit[[#This Row],[Monthly_Revenue]]</f>
        <v>38356.050000000003</v>
      </c>
      <c r="O51" s="3" t="str" cm="1">
        <f t="array" ref="O5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1" s="4" cm="1">
        <f t="array" ref="P51">_xlfn.IFS(tbl_SaaS_Audit[[#This Row],[Risk_Level]]="CRITICAL RISK",tbl_SaaS_Audit[[#This Row],[Monthly_Revenue]]*12,TRUE,0)</f>
        <v>0</v>
      </c>
    </row>
    <row r="52" spans="1:16">
      <c r="A52" s="1">
        <v>51</v>
      </c>
      <c r="B52" s="1" t="s">
        <v>90</v>
      </c>
      <c r="C52" s="1" t="s">
        <v>11</v>
      </c>
      <c r="D52" s="2">
        <v>45703</v>
      </c>
      <c r="E52" s="1" t="s">
        <v>41</v>
      </c>
      <c r="F52" s="4">
        <v>13720.72</v>
      </c>
      <c r="G52" s="1" t="s">
        <v>33</v>
      </c>
      <c r="H52" s="2">
        <v>46035</v>
      </c>
      <c r="I52" s="1">
        <v>13</v>
      </c>
      <c r="J52" s="1" t="s">
        <v>45</v>
      </c>
      <c r="K52" s="1" t="str">
        <f>_xlfn.TEXTBEFORE(tbl_SaaS_Audit[[#This Row],[region]],"-")</f>
        <v>EU</v>
      </c>
      <c r="L52" s="8" t="str">
        <f>_xlfn.TEXTAFTER(tbl_SaaS_Audit[[#This Row],[region]],"-")</f>
        <v>CENTRAL</v>
      </c>
      <c r="M52" s="8">
        <f t="shared" si="0"/>
        <v>11</v>
      </c>
      <c r="N52" s="4">
        <f>tbl_SaaS_Audit[[#This Row],[Tenure_Months]]*tbl_SaaS_Audit[[#This Row],[Monthly_Revenue]]</f>
        <v>150927.91999999998</v>
      </c>
      <c r="O52" s="3" t="str" cm="1">
        <f t="array" ref="O5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2" s="4" cm="1">
        <f t="array" ref="P52">_xlfn.IFS(tbl_SaaS_Audit[[#This Row],[Risk_Level]]="CRITICAL RISK",tbl_SaaS_Audit[[#This Row],[Monthly_Revenue]]*12,TRUE,0)</f>
        <v>0</v>
      </c>
    </row>
    <row r="53" spans="1:16">
      <c r="A53" s="1">
        <v>52</v>
      </c>
      <c r="B53" s="1" t="s">
        <v>93</v>
      </c>
      <c r="C53" s="1" t="s">
        <v>13</v>
      </c>
      <c r="D53" s="2">
        <v>45753</v>
      </c>
      <c r="E53" s="1" t="s">
        <v>39</v>
      </c>
      <c r="F53" s="4">
        <v>3112.9</v>
      </c>
      <c r="G53" s="1" t="s">
        <v>49</v>
      </c>
      <c r="H53" s="1"/>
      <c r="I53" s="1">
        <v>10</v>
      </c>
      <c r="J53" s="1" t="s">
        <v>37</v>
      </c>
      <c r="K53" s="1" t="str">
        <f>_xlfn.TEXTBEFORE(tbl_SaaS_Audit[[#This Row],[region]],"-")</f>
        <v>MEA</v>
      </c>
      <c r="L53" s="8" t="str">
        <f>_xlfn.TEXTAFTER(tbl_SaaS_Audit[[#This Row],[region]],"-")</f>
        <v>EGY</v>
      </c>
      <c r="M53" s="8">
        <f t="shared" si="0"/>
        <v>17</v>
      </c>
      <c r="N53" s="4">
        <f>tbl_SaaS_Audit[[#This Row],[Tenure_Months]]*tbl_SaaS_Audit[[#This Row],[Monthly_Revenue]]</f>
        <v>52919.3</v>
      </c>
      <c r="O53" s="3" t="str" cm="1">
        <f t="array" ref="O5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3" s="4" cm="1">
        <f t="array" ref="P53">_xlfn.IFS(tbl_SaaS_Audit[[#This Row],[Risk_Level]]="CRITICAL RISK",tbl_SaaS_Audit[[#This Row],[Monthly_Revenue]]*12,TRUE,0)</f>
        <v>0</v>
      </c>
    </row>
    <row r="54" spans="1:16">
      <c r="A54" s="1">
        <v>53</v>
      </c>
      <c r="B54" s="1" t="s">
        <v>94</v>
      </c>
      <c r="C54" s="1" t="s">
        <v>12</v>
      </c>
      <c r="D54" s="2">
        <v>45425</v>
      </c>
      <c r="E54" s="1" t="s">
        <v>32</v>
      </c>
      <c r="F54" s="4">
        <v>11614.36</v>
      </c>
      <c r="G54" s="1" t="s">
        <v>49</v>
      </c>
      <c r="H54" s="2">
        <v>46073</v>
      </c>
      <c r="I54" s="1">
        <v>7</v>
      </c>
      <c r="J54" s="1" t="s">
        <v>47</v>
      </c>
      <c r="K54" s="1" t="str">
        <f>_xlfn.TEXTBEFORE(tbl_SaaS_Audit[[#This Row],[region]],"-")</f>
        <v>NA</v>
      </c>
      <c r="L54" s="8" t="str">
        <f>_xlfn.TEXTAFTER(tbl_SaaS_Audit[[#This Row],[region]],"-")</f>
        <v>WEST</v>
      </c>
      <c r="M54" s="8">
        <f t="shared" si="0"/>
        <v>28</v>
      </c>
      <c r="N54" s="4">
        <f>tbl_SaaS_Audit[[#This Row],[Tenure_Months]]*tbl_SaaS_Audit[[#This Row],[Monthly_Revenue]]</f>
        <v>325202.08</v>
      </c>
      <c r="O54" s="3" t="str" cm="1">
        <f t="array" ref="O5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4" s="4" cm="1">
        <f t="array" ref="P54">_xlfn.IFS(tbl_SaaS_Audit[[#This Row],[Risk_Level]]="CRITICAL RISK",tbl_SaaS_Audit[[#This Row],[Monthly_Revenue]]*12,TRUE,0)</f>
        <v>0</v>
      </c>
    </row>
    <row r="55" spans="1:16">
      <c r="A55" s="1">
        <v>54</v>
      </c>
      <c r="B55" s="1" t="s">
        <v>95</v>
      </c>
      <c r="C55" s="1" t="s">
        <v>13</v>
      </c>
      <c r="D55" s="2">
        <v>45360</v>
      </c>
      <c r="E55" s="1" t="s">
        <v>32</v>
      </c>
      <c r="F55" s="4">
        <v>9998.7999999999993</v>
      </c>
      <c r="G55" s="1" t="s">
        <v>42</v>
      </c>
      <c r="H55" s="2">
        <v>46253</v>
      </c>
      <c r="I55" s="1">
        <v>13</v>
      </c>
      <c r="J55" s="1" t="s">
        <v>47</v>
      </c>
      <c r="K55" s="1" t="str">
        <f>_xlfn.TEXTBEFORE(tbl_SaaS_Audit[[#This Row],[region]],"-")</f>
        <v>NA</v>
      </c>
      <c r="L55" s="8" t="str">
        <f>_xlfn.TEXTAFTER(tbl_SaaS_Audit[[#This Row],[region]],"-")</f>
        <v>WEST</v>
      </c>
      <c r="M55" s="8">
        <f t="shared" si="0"/>
        <v>30</v>
      </c>
      <c r="N55" s="4">
        <f>tbl_SaaS_Audit[[#This Row],[Tenure_Months]]*tbl_SaaS_Audit[[#This Row],[Monthly_Revenue]]</f>
        <v>299964</v>
      </c>
      <c r="O55" s="3" t="str" cm="1">
        <f t="array" ref="O5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5" s="4" cm="1">
        <f t="array" ref="P55">_xlfn.IFS(tbl_SaaS_Audit[[#This Row],[Risk_Level]]="CRITICAL RISK",tbl_SaaS_Audit[[#This Row],[Monthly_Revenue]]*12,TRUE,0)</f>
        <v>119985.59999999999</v>
      </c>
    </row>
    <row r="56" spans="1:16">
      <c r="A56" s="1">
        <v>55</v>
      </c>
      <c r="B56" s="1" t="s">
        <v>87</v>
      </c>
      <c r="C56" s="1" t="s">
        <v>14</v>
      </c>
      <c r="D56" s="2">
        <v>45344</v>
      </c>
      <c r="E56" s="1" t="s">
        <v>32</v>
      </c>
      <c r="F56" s="4">
        <v>14120.78</v>
      </c>
      <c r="G56" s="1" t="s">
        <v>49</v>
      </c>
      <c r="H56" s="2">
        <v>45961</v>
      </c>
      <c r="I56" s="1">
        <v>18</v>
      </c>
      <c r="J56" s="1" t="s">
        <v>37</v>
      </c>
      <c r="K56" s="1" t="str">
        <f>_xlfn.TEXTBEFORE(tbl_SaaS_Audit[[#This Row],[region]],"-")</f>
        <v>MEA</v>
      </c>
      <c r="L56" s="8" t="str">
        <f>_xlfn.TEXTAFTER(tbl_SaaS_Audit[[#This Row],[region]],"-")</f>
        <v>EGY</v>
      </c>
      <c r="M56" s="8">
        <f t="shared" si="0"/>
        <v>31</v>
      </c>
      <c r="N56" s="4">
        <f>tbl_SaaS_Audit[[#This Row],[Tenure_Months]]*tbl_SaaS_Audit[[#This Row],[Monthly_Revenue]]</f>
        <v>437744.18</v>
      </c>
      <c r="O56" s="3" t="str" cm="1">
        <f t="array" ref="O5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6" s="4" cm="1">
        <f t="array" ref="P56">_xlfn.IFS(tbl_SaaS_Audit[[#This Row],[Risk_Level]]="CRITICAL RISK",tbl_SaaS_Audit[[#This Row],[Monthly_Revenue]]*12,TRUE,0)</f>
        <v>0</v>
      </c>
    </row>
    <row r="57" spans="1:16">
      <c r="A57" s="1">
        <v>56</v>
      </c>
      <c r="B57" s="1" t="s">
        <v>96</v>
      </c>
      <c r="C57" s="1" t="s">
        <v>11</v>
      </c>
      <c r="D57" s="2">
        <v>45329</v>
      </c>
      <c r="E57" s="1" t="s">
        <v>39</v>
      </c>
      <c r="F57" s="4">
        <v>8351.41</v>
      </c>
      <c r="G57" s="1" t="s">
        <v>49</v>
      </c>
      <c r="H57" s="2">
        <v>46225</v>
      </c>
      <c r="I57" s="1">
        <v>10</v>
      </c>
      <c r="J57" s="1" t="s">
        <v>47</v>
      </c>
      <c r="K57" s="1" t="str">
        <f>_xlfn.TEXTBEFORE(tbl_SaaS_Audit[[#This Row],[region]],"-")</f>
        <v>NA</v>
      </c>
      <c r="L57" s="8" t="str">
        <f>_xlfn.TEXTAFTER(tbl_SaaS_Audit[[#This Row],[region]],"-")</f>
        <v>WEST</v>
      </c>
      <c r="M57" s="8">
        <f t="shared" si="0"/>
        <v>31</v>
      </c>
      <c r="N57" s="4">
        <f>tbl_SaaS_Audit[[#This Row],[Tenure_Months]]*tbl_SaaS_Audit[[#This Row],[Monthly_Revenue]]</f>
        <v>258893.71</v>
      </c>
      <c r="O57" s="3" t="str" cm="1">
        <f t="array" ref="O5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7" s="4" cm="1">
        <f t="array" ref="P57">_xlfn.IFS(tbl_SaaS_Audit[[#This Row],[Risk_Level]]="CRITICAL RISK",tbl_SaaS_Audit[[#This Row],[Monthly_Revenue]]*12,TRUE,0)</f>
        <v>0</v>
      </c>
    </row>
    <row r="58" spans="1:16">
      <c r="A58" s="1">
        <v>57</v>
      </c>
      <c r="B58" s="1" t="s">
        <v>97</v>
      </c>
      <c r="C58" s="1" t="s">
        <v>13</v>
      </c>
      <c r="D58" s="2">
        <v>45626</v>
      </c>
      <c r="E58" s="1" t="s">
        <v>32</v>
      </c>
      <c r="F58" s="4">
        <v>5288.92</v>
      </c>
      <c r="G58" s="1" t="s">
        <v>33</v>
      </c>
      <c r="H58" s="2">
        <v>46130</v>
      </c>
      <c r="I58" s="1">
        <v>11</v>
      </c>
      <c r="J58" s="1" t="s">
        <v>47</v>
      </c>
      <c r="K58" s="1" t="str">
        <f>_xlfn.TEXTBEFORE(tbl_SaaS_Audit[[#This Row],[region]],"-")</f>
        <v>NA</v>
      </c>
      <c r="L58" s="8" t="str">
        <f>_xlfn.TEXTAFTER(tbl_SaaS_Audit[[#This Row],[region]],"-")</f>
        <v>WEST</v>
      </c>
      <c r="M58" s="8">
        <f t="shared" si="0"/>
        <v>17</v>
      </c>
      <c r="N58" s="4">
        <f>tbl_SaaS_Audit[[#This Row],[Tenure_Months]]*tbl_SaaS_Audit[[#This Row],[Monthly_Revenue]]</f>
        <v>89911.64</v>
      </c>
      <c r="O58" s="3" t="str" cm="1">
        <f t="array" ref="O5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8" s="4" cm="1">
        <f t="array" ref="P58">_xlfn.IFS(tbl_SaaS_Audit[[#This Row],[Risk_Level]]="CRITICAL RISK",tbl_SaaS_Audit[[#This Row],[Monthly_Revenue]]*12,TRUE,0)</f>
        <v>0</v>
      </c>
    </row>
    <row r="59" spans="1:16">
      <c r="A59" s="1">
        <v>58</v>
      </c>
      <c r="B59" s="1" t="s">
        <v>98</v>
      </c>
      <c r="C59" s="1" t="s">
        <v>15</v>
      </c>
      <c r="D59" s="2">
        <v>45783</v>
      </c>
      <c r="E59" s="1" t="s">
        <v>32</v>
      </c>
      <c r="F59" s="4">
        <v>14832.2</v>
      </c>
      <c r="G59" s="1" t="s">
        <v>49</v>
      </c>
      <c r="H59" s="2">
        <v>46235</v>
      </c>
      <c r="I59" s="1">
        <v>1</v>
      </c>
      <c r="J59" s="1" t="s">
        <v>37</v>
      </c>
      <c r="K59" s="1" t="str">
        <f>_xlfn.TEXTBEFORE(tbl_SaaS_Audit[[#This Row],[region]],"-")</f>
        <v>MEA</v>
      </c>
      <c r="L59" s="8" t="str">
        <f>_xlfn.TEXTAFTER(tbl_SaaS_Audit[[#This Row],[region]],"-")</f>
        <v>EGY</v>
      </c>
      <c r="M59" s="8">
        <f t="shared" si="0"/>
        <v>16</v>
      </c>
      <c r="N59" s="4">
        <f>tbl_SaaS_Audit[[#This Row],[Tenure_Months]]*tbl_SaaS_Audit[[#This Row],[Monthly_Revenue]]</f>
        <v>237315.20000000001</v>
      </c>
      <c r="O59" s="3" t="str" cm="1">
        <f t="array" ref="O5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9" s="4" cm="1">
        <f t="array" ref="P59">_xlfn.IFS(tbl_SaaS_Audit[[#This Row],[Risk_Level]]="CRITICAL RISK",tbl_SaaS_Audit[[#This Row],[Monthly_Revenue]]*12,TRUE,0)</f>
        <v>0</v>
      </c>
    </row>
    <row r="60" spans="1:16">
      <c r="A60" s="1">
        <v>59</v>
      </c>
      <c r="B60" s="1" t="s">
        <v>90</v>
      </c>
      <c r="C60" s="1" t="s">
        <v>15</v>
      </c>
      <c r="D60" s="2">
        <v>45392</v>
      </c>
      <c r="E60" s="1" t="s">
        <v>32</v>
      </c>
      <c r="F60" s="4">
        <v>9406.4699999999993</v>
      </c>
      <c r="G60" s="1" t="s">
        <v>33</v>
      </c>
      <c r="H60" s="1"/>
      <c r="I60" s="1">
        <v>7</v>
      </c>
      <c r="J60" s="1" t="s">
        <v>37</v>
      </c>
      <c r="K60" s="1" t="str">
        <f>_xlfn.TEXTBEFORE(tbl_SaaS_Audit[[#This Row],[region]],"-")</f>
        <v>MEA</v>
      </c>
      <c r="L60" s="8" t="str">
        <f>_xlfn.TEXTAFTER(tbl_SaaS_Audit[[#This Row],[region]],"-")</f>
        <v>EGY</v>
      </c>
      <c r="M60" s="8">
        <f t="shared" si="0"/>
        <v>29</v>
      </c>
      <c r="N60" s="4">
        <f>tbl_SaaS_Audit[[#This Row],[Tenure_Months]]*tbl_SaaS_Audit[[#This Row],[Monthly_Revenue]]</f>
        <v>272787.63</v>
      </c>
      <c r="O60" s="3" t="str" cm="1">
        <f t="array" ref="O6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0" s="4" cm="1">
        <f t="array" ref="P60">_xlfn.IFS(tbl_SaaS_Audit[[#This Row],[Risk_Level]]="CRITICAL RISK",tbl_SaaS_Audit[[#This Row],[Monthly_Revenue]]*12,TRUE,0)</f>
        <v>0</v>
      </c>
    </row>
    <row r="61" spans="1:16">
      <c r="A61" s="1">
        <v>60</v>
      </c>
      <c r="B61" s="1" t="s">
        <v>68</v>
      </c>
      <c r="C61" s="1" t="s">
        <v>14</v>
      </c>
      <c r="D61" s="2">
        <v>45634</v>
      </c>
      <c r="E61" s="1" t="s">
        <v>32</v>
      </c>
      <c r="F61" s="4">
        <v>12671.41</v>
      </c>
      <c r="G61" s="1" t="s">
        <v>42</v>
      </c>
      <c r="H61" s="2">
        <v>46063</v>
      </c>
      <c r="I61" s="1">
        <v>0</v>
      </c>
      <c r="J61" s="1" t="s">
        <v>34</v>
      </c>
      <c r="K61" s="1" t="str">
        <f>_xlfn.TEXTBEFORE(tbl_SaaS_Audit[[#This Row],[region]],"-")</f>
        <v>APAC</v>
      </c>
      <c r="L61" s="8" t="str">
        <f>_xlfn.TEXTAFTER(tbl_SaaS_Audit[[#This Row],[region]],"-")</f>
        <v>SGP</v>
      </c>
      <c r="M61" s="8">
        <f t="shared" si="0"/>
        <v>21</v>
      </c>
      <c r="N61" s="4">
        <f>tbl_SaaS_Audit[[#This Row],[Tenure_Months]]*tbl_SaaS_Audit[[#This Row],[Monthly_Revenue]]</f>
        <v>266099.61</v>
      </c>
      <c r="O61" s="3" t="str" cm="1">
        <f t="array" ref="O6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61" s="4" cm="1">
        <f t="array" ref="P61">_xlfn.IFS(tbl_SaaS_Audit[[#This Row],[Risk_Level]]="CRITICAL RISK",tbl_SaaS_Audit[[#This Row],[Monthly_Revenue]]*12,TRUE,0)</f>
        <v>0</v>
      </c>
    </row>
    <row r="62" spans="1:16">
      <c r="A62" s="1">
        <v>61</v>
      </c>
      <c r="B62" s="1" t="s">
        <v>99</v>
      </c>
      <c r="C62" s="1" t="s">
        <v>11</v>
      </c>
      <c r="D62" s="2">
        <v>45343</v>
      </c>
      <c r="E62" s="1" t="s">
        <v>32</v>
      </c>
      <c r="F62" s="4">
        <v>1435.82</v>
      </c>
      <c r="G62" s="1" t="s">
        <v>49</v>
      </c>
      <c r="H62" s="2">
        <v>45969</v>
      </c>
      <c r="I62" s="1">
        <v>13</v>
      </c>
      <c r="J62" s="1" t="s">
        <v>45</v>
      </c>
      <c r="K62" s="1" t="str">
        <f>_xlfn.TEXTBEFORE(tbl_SaaS_Audit[[#This Row],[region]],"-")</f>
        <v>EU</v>
      </c>
      <c r="L62" s="8" t="str">
        <f>_xlfn.TEXTAFTER(tbl_SaaS_Audit[[#This Row],[region]],"-")</f>
        <v>CENTRAL</v>
      </c>
      <c r="M62" s="8">
        <f t="shared" si="0"/>
        <v>31</v>
      </c>
      <c r="N62" s="4">
        <f>tbl_SaaS_Audit[[#This Row],[Tenure_Months]]*tbl_SaaS_Audit[[#This Row],[Monthly_Revenue]]</f>
        <v>44510.42</v>
      </c>
      <c r="O62" s="3" t="str" cm="1">
        <f t="array" ref="O6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2" s="4" cm="1">
        <f t="array" ref="P62">_xlfn.IFS(tbl_SaaS_Audit[[#This Row],[Risk_Level]]="CRITICAL RISK",tbl_SaaS_Audit[[#This Row],[Monthly_Revenue]]*12,TRUE,0)</f>
        <v>0</v>
      </c>
    </row>
    <row r="63" spans="1:16">
      <c r="A63" s="1">
        <v>62</v>
      </c>
      <c r="B63" s="1" t="s">
        <v>100</v>
      </c>
      <c r="C63" s="1" t="s">
        <v>13</v>
      </c>
      <c r="D63" s="2">
        <v>45411</v>
      </c>
      <c r="E63" s="1" t="s">
        <v>41</v>
      </c>
      <c r="F63" s="4">
        <v>2685.2</v>
      </c>
      <c r="G63" s="1" t="s">
        <v>42</v>
      </c>
      <c r="H63" s="2">
        <v>45839</v>
      </c>
      <c r="I63" s="1">
        <v>5</v>
      </c>
      <c r="J63" s="1" t="s">
        <v>47</v>
      </c>
      <c r="K63" s="1" t="str">
        <f>_xlfn.TEXTBEFORE(tbl_SaaS_Audit[[#This Row],[region]],"-")</f>
        <v>NA</v>
      </c>
      <c r="L63" s="8" t="str">
        <f>_xlfn.TEXTAFTER(tbl_SaaS_Audit[[#This Row],[region]],"-")</f>
        <v>WEST</v>
      </c>
      <c r="M63" s="8">
        <f t="shared" si="0"/>
        <v>29</v>
      </c>
      <c r="N63" s="4">
        <f>tbl_SaaS_Audit[[#This Row],[Tenure_Months]]*tbl_SaaS_Audit[[#This Row],[Monthly_Revenue]]</f>
        <v>77870.799999999988</v>
      </c>
      <c r="O63" s="3" t="str" cm="1">
        <f t="array" ref="O6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3" s="4" cm="1">
        <f t="array" ref="P63">_xlfn.IFS(tbl_SaaS_Audit[[#This Row],[Risk_Level]]="CRITICAL RISK",tbl_SaaS_Audit[[#This Row],[Monthly_Revenue]]*12,TRUE,0)</f>
        <v>0</v>
      </c>
    </row>
    <row r="64" spans="1:16">
      <c r="A64" s="1">
        <v>63</v>
      </c>
      <c r="B64" s="1" t="s">
        <v>101</v>
      </c>
      <c r="C64" s="1" t="s">
        <v>12</v>
      </c>
      <c r="D64" s="2">
        <v>45621</v>
      </c>
      <c r="E64" s="1" t="s">
        <v>32</v>
      </c>
      <c r="F64" s="4">
        <v>2386.25</v>
      </c>
      <c r="G64" s="1" t="s">
        <v>33</v>
      </c>
      <c r="H64" s="2">
        <v>46203</v>
      </c>
      <c r="I64" s="1">
        <v>1</v>
      </c>
      <c r="J64" s="1" t="s">
        <v>47</v>
      </c>
      <c r="K64" s="1" t="str">
        <f>_xlfn.TEXTBEFORE(tbl_SaaS_Audit[[#This Row],[region]],"-")</f>
        <v>NA</v>
      </c>
      <c r="L64" s="8" t="str">
        <f>_xlfn.TEXTAFTER(tbl_SaaS_Audit[[#This Row],[region]],"-")</f>
        <v>WEST</v>
      </c>
      <c r="M64" s="8">
        <f t="shared" si="0"/>
        <v>19</v>
      </c>
      <c r="N64" s="4">
        <f>tbl_SaaS_Audit[[#This Row],[Tenure_Months]]*tbl_SaaS_Audit[[#This Row],[Monthly_Revenue]]</f>
        <v>45338.75</v>
      </c>
      <c r="O64" s="3" t="str" cm="1">
        <f t="array" ref="O6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64" s="4" cm="1">
        <f t="array" ref="P64">_xlfn.IFS(tbl_SaaS_Audit[[#This Row],[Risk_Level]]="CRITICAL RISK",tbl_SaaS_Audit[[#This Row],[Monthly_Revenue]]*12,TRUE,0)</f>
        <v>0</v>
      </c>
    </row>
    <row r="65" spans="1:16">
      <c r="A65" s="1">
        <v>64</v>
      </c>
      <c r="B65" s="1" t="s">
        <v>102</v>
      </c>
      <c r="C65" s="1" t="s">
        <v>12</v>
      </c>
      <c r="D65" s="2">
        <v>45525</v>
      </c>
      <c r="E65" s="1" t="s">
        <v>41</v>
      </c>
      <c r="F65" s="4">
        <v>8628.02</v>
      </c>
      <c r="G65" s="1" t="s">
        <v>49</v>
      </c>
      <c r="H65" s="1"/>
      <c r="I65" s="1">
        <v>10</v>
      </c>
      <c r="J65" s="1" t="s">
        <v>47</v>
      </c>
      <c r="K65" s="1" t="str">
        <f>_xlfn.TEXTBEFORE(tbl_SaaS_Audit[[#This Row],[region]],"-")</f>
        <v>NA</v>
      </c>
      <c r="L65" s="8" t="str">
        <f>_xlfn.TEXTAFTER(tbl_SaaS_Audit[[#This Row],[region]],"-")</f>
        <v>WEST</v>
      </c>
      <c r="M65" s="8">
        <f t="shared" si="0"/>
        <v>25</v>
      </c>
      <c r="N65" s="4">
        <f>tbl_SaaS_Audit[[#This Row],[Tenure_Months]]*tbl_SaaS_Audit[[#This Row],[Monthly_Revenue]]</f>
        <v>215700.5</v>
      </c>
      <c r="O65" s="3" t="str" cm="1">
        <f t="array" ref="O6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5" s="4" cm="1">
        <f t="array" ref="P65">_xlfn.IFS(tbl_SaaS_Audit[[#This Row],[Risk_Level]]="CRITICAL RISK",tbl_SaaS_Audit[[#This Row],[Monthly_Revenue]]*12,TRUE,0)</f>
        <v>0</v>
      </c>
    </row>
    <row r="66" spans="1:16">
      <c r="A66" s="1">
        <v>65</v>
      </c>
      <c r="B66" s="1" t="s">
        <v>65</v>
      </c>
      <c r="C66" s="1" t="s">
        <v>11</v>
      </c>
      <c r="D66" s="2">
        <v>45777</v>
      </c>
      <c r="E66" s="1" t="s">
        <v>41</v>
      </c>
      <c r="F66" s="4">
        <v>11084.71</v>
      </c>
      <c r="G66" s="1" t="s">
        <v>36</v>
      </c>
      <c r="H66" s="2">
        <v>46130</v>
      </c>
      <c r="I66" s="1">
        <v>0</v>
      </c>
      <c r="J66" s="1" t="s">
        <v>45</v>
      </c>
      <c r="K66" s="1" t="str">
        <f>_xlfn.TEXTBEFORE(tbl_SaaS_Audit[[#This Row],[region]],"-")</f>
        <v>EU</v>
      </c>
      <c r="L66" s="8" t="str">
        <f>_xlfn.TEXTAFTER(tbl_SaaS_Audit[[#This Row],[region]],"-")</f>
        <v>CENTRAL</v>
      </c>
      <c r="M66" s="8">
        <f t="shared" ref="M66:M129" si="1">MAX(0, IF(AND(G66="Churned", ISNUMBER(H66)), (YEAR(H66)-YEAR(D66))*12 + (MONTH(H66)-MONTH(D66)), (YEAR(DATE(2026,9,1))-YEAR(D66))*12 + (MONTH(DATE(2026,9,1))-MONTH(D66))))</f>
        <v>17</v>
      </c>
      <c r="N66" s="4">
        <f>tbl_SaaS_Audit[[#This Row],[Tenure_Months]]*tbl_SaaS_Audit[[#This Row],[Monthly_Revenue]]</f>
        <v>188440.06999999998</v>
      </c>
      <c r="O66" s="3" t="str" cm="1">
        <f t="array" ref="O6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66" s="4" cm="1">
        <f t="array" ref="P66">_xlfn.IFS(tbl_SaaS_Audit[[#This Row],[Risk_Level]]="CRITICAL RISK",tbl_SaaS_Audit[[#This Row],[Monthly_Revenue]]*12,TRUE,0)</f>
        <v>0</v>
      </c>
    </row>
    <row r="67" spans="1:16">
      <c r="A67" s="1">
        <v>66</v>
      </c>
      <c r="B67" s="1" t="s">
        <v>103</v>
      </c>
      <c r="C67" s="1" t="s">
        <v>11</v>
      </c>
      <c r="D67" s="2">
        <v>45789</v>
      </c>
      <c r="E67" s="1" t="s">
        <v>32</v>
      </c>
      <c r="F67" s="4">
        <v>5394.88</v>
      </c>
      <c r="G67" s="1" t="s">
        <v>36</v>
      </c>
      <c r="H67" s="2">
        <v>45893</v>
      </c>
      <c r="I67" s="1">
        <v>16</v>
      </c>
      <c r="J67" s="1" t="s">
        <v>34</v>
      </c>
      <c r="K67" s="1" t="str">
        <f>_xlfn.TEXTBEFORE(tbl_SaaS_Audit[[#This Row],[region]],"-")</f>
        <v>APAC</v>
      </c>
      <c r="L67" s="8" t="str">
        <f>_xlfn.TEXTAFTER(tbl_SaaS_Audit[[#This Row],[region]],"-")</f>
        <v>SGP</v>
      </c>
      <c r="M67" s="8">
        <f t="shared" si="1"/>
        <v>16</v>
      </c>
      <c r="N67" s="4">
        <f>tbl_SaaS_Audit[[#This Row],[Tenure_Months]]*tbl_SaaS_Audit[[#This Row],[Monthly_Revenue]]</f>
        <v>86318.080000000002</v>
      </c>
      <c r="O67" s="3" t="str" cm="1">
        <f t="array" ref="O6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67" s="4" cm="1">
        <f t="array" ref="P67">_xlfn.IFS(tbl_SaaS_Audit[[#This Row],[Risk_Level]]="CRITICAL RISK",tbl_SaaS_Audit[[#This Row],[Monthly_Revenue]]*12,TRUE,0)</f>
        <v>0</v>
      </c>
    </row>
    <row r="68" spans="1:16">
      <c r="A68" s="1">
        <v>67</v>
      </c>
      <c r="B68" s="1" t="s">
        <v>104</v>
      </c>
      <c r="C68" s="1" t="s">
        <v>15</v>
      </c>
      <c r="D68" s="2">
        <v>45492</v>
      </c>
      <c r="E68" s="1" t="s">
        <v>41</v>
      </c>
      <c r="F68" s="4">
        <v>7808.55</v>
      </c>
      <c r="G68" s="1" t="s">
        <v>42</v>
      </c>
      <c r="H68" s="2">
        <v>46150</v>
      </c>
      <c r="I68" s="1">
        <v>0</v>
      </c>
      <c r="J68" s="1" t="s">
        <v>45</v>
      </c>
      <c r="K68" s="1" t="str">
        <f>_xlfn.TEXTBEFORE(tbl_SaaS_Audit[[#This Row],[region]],"-")</f>
        <v>EU</v>
      </c>
      <c r="L68" s="8" t="str">
        <f>_xlfn.TEXTAFTER(tbl_SaaS_Audit[[#This Row],[region]],"-")</f>
        <v>CENTRAL</v>
      </c>
      <c r="M68" s="8">
        <f t="shared" si="1"/>
        <v>26</v>
      </c>
      <c r="N68" s="4">
        <f>tbl_SaaS_Audit[[#This Row],[Tenure_Months]]*tbl_SaaS_Audit[[#This Row],[Monthly_Revenue]]</f>
        <v>203022.30000000002</v>
      </c>
      <c r="O68" s="3" t="str" cm="1">
        <f t="array" ref="O6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68" s="4" cm="1">
        <f t="array" ref="P68">_xlfn.IFS(tbl_SaaS_Audit[[#This Row],[Risk_Level]]="CRITICAL RISK",tbl_SaaS_Audit[[#This Row],[Monthly_Revenue]]*12,TRUE,0)</f>
        <v>0</v>
      </c>
    </row>
    <row r="69" spans="1:16">
      <c r="A69" s="1">
        <v>68</v>
      </c>
      <c r="B69" s="1" t="s">
        <v>105</v>
      </c>
      <c r="C69" s="1" t="s">
        <v>13</v>
      </c>
      <c r="D69" s="2">
        <v>45727</v>
      </c>
      <c r="E69" s="1" t="s">
        <v>32</v>
      </c>
      <c r="F69" s="4">
        <v>869.29</v>
      </c>
      <c r="G69" s="1" t="s">
        <v>49</v>
      </c>
      <c r="H69" s="2">
        <v>45848</v>
      </c>
      <c r="I69" s="1">
        <v>4</v>
      </c>
      <c r="J69" s="1" t="s">
        <v>51</v>
      </c>
      <c r="K69" s="1" t="str">
        <f>_xlfn.TEXTBEFORE(tbl_SaaS_Audit[[#This Row],[region]],"-")</f>
        <v>NA</v>
      </c>
      <c r="L69" s="8" t="str">
        <f>_xlfn.TEXTAFTER(tbl_SaaS_Audit[[#This Row],[region]],"-")</f>
        <v>EAST</v>
      </c>
      <c r="M69" s="8">
        <f t="shared" si="1"/>
        <v>18</v>
      </c>
      <c r="N69" s="4">
        <f>tbl_SaaS_Audit[[#This Row],[Tenure_Months]]*tbl_SaaS_Audit[[#This Row],[Monthly_Revenue]]</f>
        <v>15647.22</v>
      </c>
      <c r="O69" s="3" t="str" cm="1">
        <f t="array" ref="O6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9" s="4" cm="1">
        <f t="array" ref="P69">_xlfn.IFS(tbl_SaaS_Audit[[#This Row],[Risk_Level]]="CRITICAL RISK",tbl_SaaS_Audit[[#This Row],[Monthly_Revenue]]*12,TRUE,0)</f>
        <v>0</v>
      </c>
    </row>
    <row r="70" spans="1:16">
      <c r="A70" s="1">
        <v>69</v>
      </c>
      <c r="B70" s="1" t="s">
        <v>106</v>
      </c>
      <c r="C70" s="1" t="s">
        <v>12</v>
      </c>
      <c r="D70" s="2">
        <v>45566</v>
      </c>
      <c r="E70" s="1" t="s">
        <v>32</v>
      </c>
      <c r="F70" s="4">
        <v>7460.33</v>
      </c>
      <c r="G70" s="1" t="s">
        <v>42</v>
      </c>
      <c r="H70" s="2">
        <v>45889</v>
      </c>
      <c r="I70" s="1">
        <v>4</v>
      </c>
      <c r="J70" s="1" t="s">
        <v>34</v>
      </c>
      <c r="K70" s="1" t="str">
        <f>_xlfn.TEXTBEFORE(tbl_SaaS_Audit[[#This Row],[region]],"-")</f>
        <v>APAC</v>
      </c>
      <c r="L70" s="8" t="str">
        <f>_xlfn.TEXTAFTER(tbl_SaaS_Audit[[#This Row],[region]],"-")</f>
        <v>SGP</v>
      </c>
      <c r="M70" s="8">
        <f t="shared" si="1"/>
        <v>23</v>
      </c>
      <c r="N70" s="4">
        <f>tbl_SaaS_Audit[[#This Row],[Tenure_Months]]*tbl_SaaS_Audit[[#This Row],[Monthly_Revenue]]</f>
        <v>171587.59</v>
      </c>
      <c r="O70" s="3" t="str" cm="1">
        <f t="array" ref="O7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70" s="4" cm="1">
        <f t="array" ref="P70">_xlfn.IFS(tbl_SaaS_Audit[[#This Row],[Risk_Level]]="CRITICAL RISK",tbl_SaaS_Audit[[#This Row],[Monthly_Revenue]]*12,TRUE,0)</f>
        <v>0</v>
      </c>
    </row>
    <row r="71" spans="1:16">
      <c r="A71" s="1">
        <v>70</v>
      </c>
      <c r="B71" s="1" t="s">
        <v>107</v>
      </c>
      <c r="C71" s="1" t="s">
        <v>14</v>
      </c>
      <c r="D71" s="2">
        <v>45821</v>
      </c>
      <c r="E71" s="1" t="s">
        <v>41</v>
      </c>
      <c r="F71" s="4">
        <v>4244.6099999999997</v>
      </c>
      <c r="G71" s="1" t="s">
        <v>42</v>
      </c>
      <c r="H71" s="1"/>
      <c r="I71" s="1">
        <v>2</v>
      </c>
      <c r="J71" s="1" t="s">
        <v>45</v>
      </c>
      <c r="K71" s="1" t="str">
        <f>_xlfn.TEXTBEFORE(tbl_SaaS_Audit[[#This Row],[region]],"-")</f>
        <v>EU</v>
      </c>
      <c r="L71" s="8" t="str">
        <f>_xlfn.TEXTAFTER(tbl_SaaS_Audit[[#This Row],[region]],"-")</f>
        <v>CENTRAL</v>
      </c>
      <c r="M71" s="8">
        <f t="shared" si="1"/>
        <v>15</v>
      </c>
      <c r="N71" s="4">
        <f>tbl_SaaS_Audit[[#This Row],[Tenure_Months]]*tbl_SaaS_Audit[[#This Row],[Monthly_Revenue]]</f>
        <v>63669.149999999994</v>
      </c>
      <c r="O71" s="3" t="str" cm="1">
        <f t="array" ref="O7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71" s="4" cm="1">
        <f t="array" ref="P71">_xlfn.IFS(tbl_SaaS_Audit[[#This Row],[Risk_Level]]="CRITICAL RISK",tbl_SaaS_Audit[[#This Row],[Monthly_Revenue]]*12,TRUE,0)</f>
        <v>0</v>
      </c>
    </row>
    <row r="72" spans="1:16">
      <c r="A72" s="1">
        <v>71</v>
      </c>
      <c r="B72" s="1" t="s">
        <v>108</v>
      </c>
      <c r="C72" s="1" t="s">
        <v>11</v>
      </c>
      <c r="D72" s="2">
        <v>45817</v>
      </c>
      <c r="E72" s="1" t="s">
        <v>41</v>
      </c>
      <c r="F72" s="4">
        <v>7549.02</v>
      </c>
      <c r="G72" s="1" t="s">
        <v>36</v>
      </c>
      <c r="H72" s="2">
        <v>45886</v>
      </c>
      <c r="I72" s="1">
        <v>12</v>
      </c>
      <c r="J72" s="1" t="s">
        <v>45</v>
      </c>
      <c r="K72" s="1" t="str">
        <f>_xlfn.TEXTBEFORE(tbl_SaaS_Audit[[#This Row],[region]],"-")</f>
        <v>EU</v>
      </c>
      <c r="L72" s="8" t="str">
        <f>_xlfn.TEXTAFTER(tbl_SaaS_Audit[[#This Row],[region]],"-")</f>
        <v>CENTRAL</v>
      </c>
      <c r="M72" s="8">
        <f t="shared" si="1"/>
        <v>15</v>
      </c>
      <c r="N72" s="4">
        <f>tbl_SaaS_Audit[[#This Row],[Tenure_Months]]*tbl_SaaS_Audit[[#This Row],[Monthly_Revenue]]</f>
        <v>113235.3</v>
      </c>
      <c r="O72" s="3" t="str" cm="1">
        <f t="array" ref="O7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72" s="4" cm="1">
        <f t="array" ref="P72">_xlfn.IFS(tbl_SaaS_Audit[[#This Row],[Risk_Level]]="CRITICAL RISK",tbl_SaaS_Audit[[#This Row],[Monthly_Revenue]]*12,TRUE,0)</f>
        <v>0</v>
      </c>
    </row>
    <row r="73" spans="1:16">
      <c r="A73" s="1">
        <v>72</v>
      </c>
      <c r="B73" s="1" t="s">
        <v>69</v>
      </c>
      <c r="C73" s="1" t="s">
        <v>14</v>
      </c>
      <c r="D73" s="2">
        <v>45660</v>
      </c>
      <c r="E73" s="1" t="s">
        <v>39</v>
      </c>
      <c r="F73" s="4">
        <v>1708.16</v>
      </c>
      <c r="G73" s="1" t="s">
        <v>42</v>
      </c>
      <c r="H73" s="2">
        <v>46255</v>
      </c>
      <c r="I73" s="1">
        <v>7</v>
      </c>
      <c r="J73" s="1" t="s">
        <v>47</v>
      </c>
      <c r="K73" s="1" t="str">
        <f>_xlfn.TEXTBEFORE(tbl_SaaS_Audit[[#This Row],[region]],"-")</f>
        <v>NA</v>
      </c>
      <c r="L73" s="8" t="str">
        <f>_xlfn.TEXTAFTER(tbl_SaaS_Audit[[#This Row],[region]],"-")</f>
        <v>WEST</v>
      </c>
      <c r="M73" s="8">
        <f t="shared" si="1"/>
        <v>20</v>
      </c>
      <c r="N73" s="4">
        <f>tbl_SaaS_Audit[[#This Row],[Tenure_Months]]*tbl_SaaS_Audit[[#This Row],[Monthly_Revenue]]</f>
        <v>34163.200000000004</v>
      </c>
      <c r="O73" s="3" t="str" cm="1">
        <f t="array" ref="O7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73" s="4" cm="1">
        <f t="array" ref="P73">_xlfn.IFS(tbl_SaaS_Audit[[#This Row],[Risk_Level]]="CRITICAL RISK",tbl_SaaS_Audit[[#This Row],[Monthly_Revenue]]*12,TRUE,0)</f>
        <v>0</v>
      </c>
    </row>
    <row r="74" spans="1:16">
      <c r="A74" s="1">
        <v>73</v>
      </c>
      <c r="B74" s="1" t="s">
        <v>109</v>
      </c>
      <c r="C74" s="1" t="s">
        <v>11</v>
      </c>
      <c r="D74" s="2">
        <v>45662</v>
      </c>
      <c r="E74" s="1" t="s">
        <v>39</v>
      </c>
      <c r="F74" s="4">
        <v>12053.16</v>
      </c>
      <c r="G74" s="1" t="s">
        <v>42</v>
      </c>
      <c r="H74" s="2">
        <v>45984</v>
      </c>
      <c r="I74" s="1">
        <v>14</v>
      </c>
      <c r="J74" s="1" t="s">
        <v>45</v>
      </c>
      <c r="K74" s="1" t="str">
        <f>_xlfn.TEXTBEFORE(tbl_SaaS_Audit[[#This Row],[region]],"-")</f>
        <v>EU</v>
      </c>
      <c r="L74" s="8" t="str">
        <f>_xlfn.TEXTAFTER(tbl_SaaS_Audit[[#This Row],[region]],"-")</f>
        <v>CENTRAL</v>
      </c>
      <c r="M74" s="8">
        <f t="shared" si="1"/>
        <v>20</v>
      </c>
      <c r="N74" s="4">
        <f>tbl_SaaS_Audit[[#This Row],[Tenure_Months]]*tbl_SaaS_Audit[[#This Row],[Monthly_Revenue]]</f>
        <v>241063.2</v>
      </c>
      <c r="O74" s="3" t="str" cm="1">
        <f t="array" ref="O7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74" s="4" cm="1">
        <f t="array" ref="P74">_xlfn.IFS(tbl_SaaS_Audit[[#This Row],[Risk_Level]]="CRITICAL RISK",tbl_SaaS_Audit[[#This Row],[Monthly_Revenue]]*12,TRUE,0)</f>
        <v>144637.91999999998</v>
      </c>
    </row>
    <row r="75" spans="1:16">
      <c r="A75" s="1">
        <v>74</v>
      </c>
      <c r="B75" s="1" t="s">
        <v>110</v>
      </c>
      <c r="C75" s="1" t="s">
        <v>12</v>
      </c>
      <c r="D75" s="2">
        <v>45387</v>
      </c>
      <c r="E75" s="1" t="s">
        <v>39</v>
      </c>
      <c r="F75" s="4">
        <v>5277.18</v>
      </c>
      <c r="G75" s="1" t="s">
        <v>33</v>
      </c>
      <c r="H75" s="2">
        <v>45873</v>
      </c>
      <c r="I75" s="1">
        <v>6</v>
      </c>
      <c r="J75" s="1" t="s">
        <v>34</v>
      </c>
      <c r="K75" s="1" t="str">
        <f>_xlfn.TEXTBEFORE(tbl_SaaS_Audit[[#This Row],[region]],"-")</f>
        <v>APAC</v>
      </c>
      <c r="L75" s="8" t="str">
        <f>_xlfn.TEXTAFTER(tbl_SaaS_Audit[[#This Row],[region]],"-")</f>
        <v>SGP</v>
      </c>
      <c r="M75" s="8">
        <f t="shared" si="1"/>
        <v>16</v>
      </c>
      <c r="N75" s="4">
        <f>tbl_SaaS_Audit[[#This Row],[Tenure_Months]]*tbl_SaaS_Audit[[#This Row],[Monthly_Revenue]]</f>
        <v>84434.880000000005</v>
      </c>
      <c r="O75" s="3" t="str" cm="1">
        <f t="array" ref="O7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75" s="4" cm="1">
        <f t="array" ref="P75">_xlfn.IFS(tbl_SaaS_Audit[[#This Row],[Risk_Level]]="CRITICAL RISK",tbl_SaaS_Audit[[#This Row],[Monthly_Revenue]]*12,TRUE,0)</f>
        <v>0</v>
      </c>
    </row>
    <row r="76" spans="1:16">
      <c r="A76" s="1">
        <v>75</v>
      </c>
      <c r="B76" s="1" t="s">
        <v>111</v>
      </c>
      <c r="C76" s="1" t="s">
        <v>15</v>
      </c>
      <c r="D76" s="2">
        <v>45423</v>
      </c>
      <c r="E76" s="1" t="s">
        <v>41</v>
      </c>
      <c r="F76" s="4">
        <v>4697.8500000000004</v>
      </c>
      <c r="G76" s="1" t="s">
        <v>42</v>
      </c>
      <c r="H76" s="2">
        <v>45918</v>
      </c>
      <c r="I76" s="1">
        <v>7</v>
      </c>
      <c r="J76" s="1" t="s">
        <v>37</v>
      </c>
      <c r="K76" s="1" t="str">
        <f>_xlfn.TEXTBEFORE(tbl_SaaS_Audit[[#This Row],[region]],"-")</f>
        <v>MEA</v>
      </c>
      <c r="L76" s="8" t="str">
        <f>_xlfn.TEXTAFTER(tbl_SaaS_Audit[[#This Row],[region]],"-")</f>
        <v>EGY</v>
      </c>
      <c r="M76" s="8">
        <f t="shared" si="1"/>
        <v>28</v>
      </c>
      <c r="N76" s="4">
        <f>tbl_SaaS_Audit[[#This Row],[Tenure_Months]]*tbl_SaaS_Audit[[#This Row],[Monthly_Revenue]]</f>
        <v>131539.80000000002</v>
      </c>
      <c r="O76" s="3" t="str" cm="1">
        <f t="array" ref="O7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76" s="4" cm="1">
        <f t="array" ref="P76">_xlfn.IFS(tbl_SaaS_Audit[[#This Row],[Risk_Level]]="CRITICAL RISK",tbl_SaaS_Audit[[#This Row],[Monthly_Revenue]]*12,TRUE,0)</f>
        <v>0</v>
      </c>
    </row>
    <row r="77" spans="1:16">
      <c r="A77" s="1">
        <v>76</v>
      </c>
      <c r="B77" s="1" t="s">
        <v>112</v>
      </c>
      <c r="C77" s="1" t="s">
        <v>15</v>
      </c>
      <c r="D77" s="2">
        <v>45755</v>
      </c>
      <c r="E77" s="1" t="s">
        <v>39</v>
      </c>
      <c r="F77" s="4">
        <v>6218.87</v>
      </c>
      <c r="G77" s="1" t="s">
        <v>33</v>
      </c>
      <c r="H77" s="2">
        <v>46131</v>
      </c>
      <c r="I77" s="1">
        <v>2</v>
      </c>
      <c r="J77" s="1" t="s">
        <v>47</v>
      </c>
      <c r="K77" s="1" t="str">
        <f>_xlfn.TEXTBEFORE(tbl_SaaS_Audit[[#This Row],[region]],"-")</f>
        <v>NA</v>
      </c>
      <c r="L77" s="8" t="str">
        <f>_xlfn.TEXTAFTER(tbl_SaaS_Audit[[#This Row],[region]],"-")</f>
        <v>WEST</v>
      </c>
      <c r="M77" s="8">
        <f t="shared" si="1"/>
        <v>12</v>
      </c>
      <c r="N77" s="4">
        <f>tbl_SaaS_Audit[[#This Row],[Tenure_Months]]*tbl_SaaS_Audit[[#This Row],[Monthly_Revenue]]</f>
        <v>74626.44</v>
      </c>
      <c r="O77" s="3" t="str" cm="1">
        <f t="array" ref="O7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77" s="4" cm="1">
        <f t="array" ref="P77">_xlfn.IFS(tbl_SaaS_Audit[[#This Row],[Risk_Level]]="CRITICAL RISK",tbl_SaaS_Audit[[#This Row],[Monthly_Revenue]]*12,TRUE,0)</f>
        <v>0</v>
      </c>
    </row>
    <row r="78" spans="1:16">
      <c r="A78" s="1">
        <v>77</v>
      </c>
      <c r="B78" s="1" t="s">
        <v>113</v>
      </c>
      <c r="C78" s="1" t="s">
        <v>13</v>
      </c>
      <c r="D78" s="2">
        <v>45563</v>
      </c>
      <c r="E78" s="1" t="s">
        <v>41</v>
      </c>
      <c r="F78" s="4">
        <v>2387.6</v>
      </c>
      <c r="G78" s="1" t="s">
        <v>42</v>
      </c>
      <c r="H78" s="2">
        <v>45894</v>
      </c>
      <c r="I78" s="1">
        <v>3</v>
      </c>
      <c r="J78" s="1" t="s">
        <v>45</v>
      </c>
      <c r="K78" s="1" t="str">
        <f>_xlfn.TEXTBEFORE(tbl_SaaS_Audit[[#This Row],[region]],"-")</f>
        <v>EU</v>
      </c>
      <c r="L78" s="8" t="str">
        <f>_xlfn.TEXTAFTER(tbl_SaaS_Audit[[#This Row],[region]],"-")</f>
        <v>CENTRAL</v>
      </c>
      <c r="M78" s="8">
        <f t="shared" si="1"/>
        <v>24</v>
      </c>
      <c r="N78" s="4">
        <f>tbl_SaaS_Audit[[#This Row],[Tenure_Months]]*tbl_SaaS_Audit[[#This Row],[Monthly_Revenue]]</f>
        <v>57302.399999999994</v>
      </c>
      <c r="O78" s="3" t="str" cm="1">
        <f t="array" ref="O7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78" s="4" cm="1">
        <f t="array" ref="P78">_xlfn.IFS(tbl_SaaS_Audit[[#This Row],[Risk_Level]]="CRITICAL RISK",tbl_SaaS_Audit[[#This Row],[Monthly_Revenue]]*12,TRUE,0)</f>
        <v>0</v>
      </c>
    </row>
    <row r="79" spans="1:16">
      <c r="A79" s="1">
        <v>78</v>
      </c>
      <c r="B79" s="1" t="s">
        <v>114</v>
      </c>
      <c r="C79" s="1" t="s">
        <v>11</v>
      </c>
      <c r="D79" s="2">
        <v>45520</v>
      </c>
      <c r="E79" s="1" t="s">
        <v>39</v>
      </c>
      <c r="F79" s="4">
        <v>6179.56</v>
      </c>
      <c r="G79" s="1" t="s">
        <v>42</v>
      </c>
      <c r="H79" s="2">
        <v>46036</v>
      </c>
      <c r="I79" s="1">
        <v>3</v>
      </c>
      <c r="J79" s="1" t="s">
        <v>34</v>
      </c>
      <c r="K79" s="1" t="str">
        <f>_xlfn.TEXTBEFORE(tbl_SaaS_Audit[[#This Row],[region]],"-")</f>
        <v>APAC</v>
      </c>
      <c r="L79" s="8" t="str">
        <f>_xlfn.TEXTAFTER(tbl_SaaS_Audit[[#This Row],[region]],"-")</f>
        <v>SGP</v>
      </c>
      <c r="M79" s="8">
        <f t="shared" si="1"/>
        <v>25</v>
      </c>
      <c r="N79" s="4">
        <f>tbl_SaaS_Audit[[#This Row],[Tenure_Months]]*tbl_SaaS_Audit[[#This Row],[Monthly_Revenue]]</f>
        <v>154489</v>
      </c>
      <c r="O79" s="3" t="str" cm="1">
        <f t="array" ref="O7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79" s="4" cm="1">
        <f t="array" ref="P79">_xlfn.IFS(tbl_SaaS_Audit[[#This Row],[Risk_Level]]="CRITICAL RISK",tbl_SaaS_Audit[[#This Row],[Monthly_Revenue]]*12,TRUE,0)</f>
        <v>0</v>
      </c>
    </row>
    <row r="80" spans="1:16">
      <c r="A80" s="1">
        <v>79</v>
      </c>
      <c r="B80" s="1" t="s">
        <v>53</v>
      </c>
      <c r="C80" s="1" t="s">
        <v>13</v>
      </c>
      <c r="D80" s="2">
        <v>45551</v>
      </c>
      <c r="E80" s="1" t="s">
        <v>39</v>
      </c>
      <c r="F80" s="4">
        <v>4385.8100000000004</v>
      </c>
      <c r="G80" s="1" t="s">
        <v>49</v>
      </c>
      <c r="H80" s="1"/>
      <c r="I80" s="1">
        <v>17</v>
      </c>
      <c r="J80" s="1" t="s">
        <v>34</v>
      </c>
      <c r="K80" s="1" t="str">
        <f>_xlfn.TEXTBEFORE(tbl_SaaS_Audit[[#This Row],[region]],"-")</f>
        <v>APAC</v>
      </c>
      <c r="L80" s="8" t="str">
        <f>_xlfn.TEXTAFTER(tbl_SaaS_Audit[[#This Row],[region]],"-")</f>
        <v>SGP</v>
      </c>
      <c r="M80" s="8">
        <f t="shared" si="1"/>
        <v>24</v>
      </c>
      <c r="N80" s="4">
        <f>tbl_SaaS_Audit[[#This Row],[Tenure_Months]]*tbl_SaaS_Audit[[#This Row],[Monthly_Revenue]]</f>
        <v>105259.44</v>
      </c>
      <c r="O80" s="3" t="str" cm="1">
        <f t="array" ref="O8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80" s="4" cm="1">
        <f t="array" ref="P80">_xlfn.IFS(tbl_SaaS_Audit[[#This Row],[Risk_Level]]="CRITICAL RISK",tbl_SaaS_Audit[[#This Row],[Monthly_Revenue]]*12,TRUE,0)</f>
        <v>0</v>
      </c>
    </row>
    <row r="81" spans="1:16">
      <c r="A81" s="1">
        <v>80</v>
      </c>
      <c r="B81" s="1" t="s">
        <v>115</v>
      </c>
      <c r="C81" s="1" t="s">
        <v>15</v>
      </c>
      <c r="D81" s="2">
        <v>45405</v>
      </c>
      <c r="E81" s="1" t="s">
        <v>39</v>
      </c>
      <c r="F81" s="4">
        <v>10283.77</v>
      </c>
      <c r="G81" s="1" t="s">
        <v>36</v>
      </c>
      <c r="H81" s="1"/>
      <c r="I81" s="1">
        <v>12</v>
      </c>
      <c r="J81" s="1" t="s">
        <v>47</v>
      </c>
      <c r="K81" s="1" t="str">
        <f>_xlfn.TEXTBEFORE(tbl_SaaS_Audit[[#This Row],[region]],"-")</f>
        <v>NA</v>
      </c>
      <c r="L81" s="8" t="str">
        <f>_xlfn.TEXTAFTER(tbl_SaaS_Audit[[#This Row],[region]],"-")</f>
        <v>WEST</v>
      </c>
      <c r="M81" s="8">
        <f t="shared" si="1"/>
        <v>29</v>
      </c>
      <c r="N81" s="4">
        <f>tbl_SaaS_Audit[[#This Row],[Tenure_Months]]*tbl_SaaS_Audit[[#This Row],[Monthly_Revenue]]</f>
        <v>298229.33</v>
      </c>
      <c r="O81" s="3" t="str" cm="1">
        <f t="array" ref="O8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81" s="4" cm="1">
        <f t="array" ref="P81">_xlfn.IFS(tbl_SaaS_Audit[[#This Row],[Risk_Level]]="CRITICAL RISK",tbl_SaaS_Audit[[#This Row],[Monthly_Revenue]]*12,TRUE,0)</f>
        <v>0</v>
      </c>
    </row>
    <row r="82" spans="1:16">
      <c r="A82" s="1">
        <v>81</v>
      </c>
      <c r="B82" s="1" t="s">
        <v>116</v>
      </c>
      <c r="C82" s="1" t="s">
        <v>12</v>
      </c>
      <c r="D82" s="2">
        <v>45667</v>
      </c>
      <c r="E82" s="1" t="s">
        <v>41</v>
      </c>
      <c r="F82" s="4">
        <v>13243.21</v>
      </c>
      <c r="G82" s="1" t="s">
        <v>33</v>
      </c>
      <c r="H82" s="1"/>
      <c r="I82" s="1">
        <v>12</v>
      </c>
      <c r="J82" s="1" t="s">
        <v>51</v>
      </c>
      <c r="K82" s="1" t="str">
        <f>_xlfn.TEXTBEFORE(tbl_SaaS_Audit[[#This Row],[region]],"-")</f>
        <v>NA</v>
      </c>
      <c r="L82" s="8" t="str">
        <f>_xlfn.TEXTAFTER(tbl_SaaS_Audit[[#This Row],[region]],"-")</f>
        <v>EAST</v>
      </c>
      <c r="M82" s="8">
        <f t="shared" si="1"/>
        <v>20</v>
      </c>
      <c r="N82" s="4">
        <f>tbl_SaaS_Audit[[#This Row],[Tenure_Months]]*tbl_SaaS_Audit[[#This Row],[Monthly_Revenue]]</f>
        <v>264864.19999999995</v>
      </c>
      <c r="O82" s="3" t="str" cm="1">
        <f t="array" ref="O8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82" s="4" cm="1">
        <f t="array" ref="P82">_xlfn.IFS(tbl_SaaS_Audit[[#This Row],[Risk_Level]]="CRITICAL RISK",tbl_SaaS_Audit[[#This Row],[Monthly_Revenue]]*12,TRUE,0)</f>
        <v>0</v>
      </c>
    </row>
    <row r="83" spans="1:16">
      <c r="A83" s="1">
        <v>82</v>
      </c>
      <c r="B83" s="1" t="s">
        <v>117</v>
      </c>
      <c r="C83" s="1" t="s">
        <v>15</v>
      </c>
      <c r="D83" s="2">
        <v>45810</v>
      </c>
      <c r="E83" s="1" t="s">
        <v>41</v>
      </c>
      <c r="F83" s="4">
        <v>10802.47</v>
      </c>
      <c r="G83" s="1" t="s">
        <v>36</v>
      </c>
      <c r="H83" s="2">
        <v>45915</v>
      </c>
      <c r="I83" s="1">
        <v>12</v>
      </c>
      <c r="J83" s="1" t="s">
        <v>34</v>
      </c>
      <c r="K83" s="1" t="str">
        <f>_xlfn.TEXTBEFORE(tbl_SaaS_Audit[[#This Row],[region]],"-")</f>
        <v>APAC</v>
      </c>
      <c r="L83" s="8" t="str">
        <f>_xlfn.TEXTAFTER(tbl_SaaS_Audit[[#This Row],[region]],"-")</f>
        <v>SGP</v>
      </c>
      <c r="M83" s="8">
        <f t="shared" si="1"/>
        <v>15</v>
      </c>
      <c r="N83" s="4">
        <f>tbl_SaaS_Audit[[#This Row],[Tenure_Months]]*tbl_SaaS_Audit[[#This Row],[Monthly_Revenue]]</f>
        <v>162037.04999999999</v>
      </c>
      <c r="O83" s="3" t="str" cm="1">
        <f t="array" ref="O8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83" s="4" cm="1">
        <f t="array" ref="P83">_xlfn.IFS(tbl_SaaS_Audit[[#This Row],[Risk_Level]]="CRITICAL RISK",tbl_SaaS_Audit[[#This Row],[Monthly_Revenue]]*12,TRUE,0)</f>
        <v>0</v>
      </c>
    </row>
    <row r="84" spans="1:16">
      <c r="A84" s="1">
        <v>83</v>
      </c>
      <c r="B84" s="1" t="s">
        <v>118</v>
      </c>
      <c r="C84" s="1" t="s">
        <v>11</v>
      </c>
      <c r="D84" s="2">
        <v>45794</v>
      </c>
      <c r="E84" s="1" t="s">
        <v>32</v>
      </c>
      <c r="F84" s="4">
        <v>12367.38</v>
      </c>
      <c r="G84" s="1" t="s">
        <v>42</v>
      </c>
      <c r="H84" s="2">
        <v>46207</v>
      </c>
      <c r="I84" s="1">
        <v>17</v>
      </c>
      <c r="J84" s="1" t="s">
        <v>34</v>
      </c>
      <c r="K84" s="1" t="str">
        <f>_xlfn.TEXTBEFORE(tbl_SaaS_Audit[[#This Row],[region]],"-")</f>
        <v>APAC</v>
      </c>
      <c r="L84" s="8" t="str">
        <f>_xlfn.TEXTAFTER(tbl_SaaS_Audit[[#This Row],[region]],"-")</f>
        <v>SGP</v>
      </c>
      <c r="M84" s="8">
        <f t="shared" si="1"/>
        <v>16</v>
      </c>
      <c r="N84" s="4">
        <f>tbl_SaaS_Audit[[#This Row],[Tenure_Months]]*tbl_SaaS_Audit[[#This Row],[Monthly_Revenue]]</f>
        <v>197878.08</v>
      </c>
      <c r="O84" s="3" t="str" cm="1">
        <f t="array" ref="O8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84" s="4" cm="1">
        <f t="array" ref="P84">_xlfn.IFS(tbl_SaaS_Audit[[#This Row],[Risk_Level]]="CRITICAL RISK",tbl_SaaS_Audit[[#This Row],[Monthly_Revenue]]*12,TRUE,0)</f>
        <v>148408.56</v>
      </c>
    </row>
    <row r="85" spans="1:16">
      <c r="A85" s="1">
        <v>84</v>
      </c>
      <c r="B85" s="1" t="s">
        <v>119</v>
      </c>
      <c r="C85" s="1" t="s">
        <v>14</v>
      </c>
      <c r="D85" s="2">
        <v>45734</v>
      </c>
      <c r="E85" s="1" t="s">
        <v>39</v>
      </c>
      <c r="F85" s="4">
        <v>7634.17</v>
      </c>
      <c r="G85" s="1" t="s">
        <v>33</v>
      </c>
      <c r="H85" s="2">
        <v>46002</v>
      </c>
      <c r="I85" s="1">
        <v>13</v>
      </c>
      <c r="J85" s="1" t="s">
        <v>37</v>
      </c>
      <c r="K85" s="1" t="str">
        <f>_xlfn.TEXTBEFORE(tbl_SaaS_Audit[[#This Row],[region]],"-")</f>
        <v>MEA</v>
      </c>
      <c r="L85" s="8" t="str">
        <f>_xlfn.TEXTAFTER(tbl_SaaS_Audit[[#This Row],[region]],"-")</f>
        <v>EGY</v>
      </c>
      <c r="M85" s="8">
        <f t="shared" si="1"/>
        <v>9</v>
      </c>
      <c r="N85" s="4">
        <f>tbl_SaaS_Audit[[#This Row],[Tenure_Months]]*tbl_SaaS_Audit[[#This Row],[Monthly_Revenue]]</f>
        <v>68707.53</v>
      </c>
      <c r="O85" s="3" t="str" cm="1">
        <f t="array" ref="O8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85" s="4" cm="1">
        <f t="array" ref="P85">_xlfn.IFS(tbl_SaaS_Audit[[#This Row],[Risk_Level]]="CRITICAL RISK",tbl_SaaS_Audit[[#This Row],[Monthly_Revenue]]*12,TRUE,0)</f>
        <v>0</v>
      </c>
    </row>
    <row r="86" spans="1:16">
      <c r="A86" s="1">
        <v>85</v>
      </c>
      <c r="B86" s="1" t="s">
        <v>120</v>
      </c>
      <c r="C86" s="1" t="s">
        <v>14</v>
      </c>
      <c r="D86" s="2">
        <v>45548</v>
      </c>
      <c r="E86" s="1" t="s">
        <v>41</v>
      </c>
      <c r="F86" s="4">
        <v>11897.59</v>
      </c>
      <c r="G86" s="1" t="s">
        <v>36</v>
      </c>
      <c r="H86" s="2">
        <v>46074</v>
      </c>
      <c r="I86" s="1">
        <v>6</v>
      </c>
      <c r="J86" s="1" t="s">
        <v>34</v>
      </c>
      <c r="K86" s="1" t="str">
        <f>_xlfn.TEXTBEFORE(tbl_SaaS_Audit[[#This Row],[region]],"-")</f>
        <v>APAC</v>
      </c>
      <c r="L86" s="8" t="str">
        <f>_xlfn.TEXTAFTER(tbl_SaaS_Audit[[#This Row],[region]],"-")</f>
        <v>SGP</v>
      </c>
      <c r="M86" s="8">
        <f t="shared" si="1"/>
        <v>24</v>
      </c>
      <c r="N86" s="4">
        <f>tbl_SaaS_Audit[[#This Row],[Tenure_Months]]*tbl_SaaS_Audit[[#This Row],[Monthly_Revenue]]</f>
        <v>285542.16000000003</v>
      </c>
      <c r="O86" s="3" t="str" cm="1">
        <f t="array" ref="O8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86" s="4" cm="1">
        <f t="array" ref="P86">_xlfn.IFS(tbl_SaaS_Audit[[#This Row],[Risk_Level]]="CRITICAL RISK",tbl_SaaS_Audit[[#This Row],[Monthly_Revenue]]*12,TRUE,0)</f>
        <v>0</v>
      </c>
    </row>
    <row r="87" spans="1:16">
      <c r="A87" s="1">
        <v>86</v>
      </c>
      <c r="B87" s="1" t="s">
        <v>121</v>
      </c>
      <c r="C87" s="1" t="s">
        <v>15</v>
      </c>
      <c r="D87" s="2">
        <v>45511</v>
      </c>
      <c r="E87" s="1" t="s">
        <v>41</v>
      </c>
      <c r="F87" s="4">
        <v>2841.41</v>
      </c>
      <c r="G87" s="1" t="s">
        <v>33</v>
      </c>
      <c r="H87" s="2">
        <v>46200</v>
      </c>
      <c r="I87" s="1">
        <v>17</v>
      </c>
      <c r="J87" s="1" t="s">
        <v>51</v>
      </c>
      <c r="K87" s="1" t="str">
        <f>_xlfn.TEXTBEFORE(tbl_SaaS_Audit[[#This Row],[region]],"-")</f>
        <v>NA</v>
      </c>
      <c r="L87" s="8" t="str">
        <f>_xlfn.TEXTAFTER(tbl_SaaS_Audit[[#This Row],[region]],"-")</f>
        <v>EAST</v>
      </c>
      <c r="M87" s="8">
        <f t="shared" si="1"/>
        <v>22</v>
      </c>
      <c r="N87" s="4">
        <f>tbl_SaaS_Audit[[#This Row],[Tenure_Months]]*tbl_SaaS_Audit[[#This Row],[Monthly_Revenue]]</f>
        <v>62511.02</v>
      </c>
      <c r="O87" s="3" t="str" cm="1">
        <f t="array" ref="O8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87" s="4" cm="1">
        <f t="array" ref="P87">_xlfn.IFS(tbl_SaaS_Audit[[#This Row],[Risk_Level]]="CRITICAL RISK",tbl_SaaS_Audit[[#This Row],[Monthly_Revenue]]*12,TRUE,0)</f>
        <v>0</v>
      </c>
    </row>
    <row r="88" spans="1:16">
      <c r="A88" s="1">
        <v>87</v>
      </c>
      <c r="B88" s="1" t="s">
        <v>122</v>
      </c>
      <c r="C88" s="1" t="s">
        <v>15</v>
      </c>
      <c r="D88" s="2">
        <v>45640</v>
      </c>
      <c r="E88" s="1" t="s">
        <v>32</v>
      </c>
      <c r="F88" s="4">
        <v>10281.31</v>
      </c>
      <c r="G88" s="1" t="s">
        <v>49</v>
      </c>
      <c r="H88" s="2">
        <v>46040</v>
      </c>
      <c r="I88" s="1">
        <v>13</v>
      </c>
      <c r="J88" s="1" t="s">
        <v>37</v>
      </c>
      <c r="K88" s="1" t="str">
        <f>_xlfn.TEXTBEFORE(tbl_SaaS_Audit[[#This Row],[region]],"-")</f>
        <v>MEA</v>
      </c>
      <c r="L88" s="8" t="str">
        <f>_xlfn.TEXTAFTER(tbl_SaaS_Audit[[#This Row],[region]],"-")</f>
        <v>EGY</v>
      </c>
      <c r="M88" s="8">
        <f t="shared" si="1"/>
        <v>21</v>
      </c>
      <c r="N88" s="4">
        <f>tbl_SaaS_Audit[[#This Row],[Tenure_Months]]*tbl_SaaS_Audit[[#This Row],[Monthly_Revenue]]</f>
        <v>215907.50999999998</v>
      </c>
      <c r="O88" s="3" t="str" cm="1">
        <f t="array" ref="O8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88" s="4" cm="1">
        <f t="array" ref="P88">_xlfn.IFS(tbl_SaaS_Audit[[#This Row],[Risk_Level]]="CRITICAL RISK",tbl_SaaS_Audit[[#This Row],[Monthly_Revenue]]*12,TRUE,0)</f>
        <v>0</v>
      </c>
    </row>
    <row r="89" spans="1:16">
      <c r="A89" s="1">
        <v>88</v>
      </c>
      <c r="B89" s="1" t="s">
        <v>123</v>
      </c>
      <c r="C89" s="1" t="s">
        <v>11</v>
      </c>
      <c r="D89" s="2">
        <v>45411</v>
      </c>
      <c r="E89" s="1" t="s">
        <v>39</v>
      </c>
      <c r="F89" s="4">
        <v>7028.86</v>
      </c>
      <c r="G89" s="1" t="s">
        <v>42</v>
      </c>
      <c r="H89" s="2">
        <v>46039</v>
      </c>
      <c r="I89" s="1">
        <v>5</v>
      </c>
      <c r="J89" s="1" t="s">
        <v>34</v>
      </c>
      <c r="K89" s="1" t="str">
        <f>_xlfn.TEXTBEFORE(tbl_SaaS_Audit[[#This Row],[region]],"-")</f>
        <v>APAC</v>
      </c>
      <c r="L89" s="8" t="str">
        <f>_xlfn.TEXTAFTER(tbl_SaaS_Audit[[#This Row],[region]],"-")</f>
        <v>SGP</v>
      </c>
      <c r="M89" s="8">
        <f t="shared" si="1"/>
        <v>29</v>
      </c>
      <c r="N89" s="4">
        <f>tbl_SaaS_Audit[[#This Row],[Tenure_Months]]*tbl_SaaS_Audit[[#This Row],[Monthly_Revenue]]</f>
        <v>203836.94</v>
      </c>
      <c r="O89" s="3" t="str" cm="1">
        <f t="array" ref="O8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89" s="4" cm="1">
        <f t="array" ref="P89">_xlfn.IFS(tbl_SaaS_Audit[[#This Row],[Risk_Level]]="CRITICAL RISK",tbl_SaaS_Audit[[#This Row],[Monthly_Revenue]]*12,TRUE,0)</f>
        <v>0</v>
      </c>
    </row>
    <row r="90" spans="1:16">
      <c r="A90" s="1">
        <v>89</v>
      </c>
      <c r="B90" s="1" t="s">
        <v>124</v>
      </c>
      <c r="C90" s="1" t="s">
        <v>12</v>
      </c>
      <c r="D90" s="2">
        <v>45379</v>
      </c>
      <c r="E90" s="1" t="s">
        <v>39</v>
      </c>
      <c r="F90" s="4">
        <v>11697.16</v>
      </c>
      <c r="G90" s="1" t="s">
        <v>42</v>
      </c>
      <c r="H90" s="2">
        <v>46109</v>
      </c>
      <c r="I90" s="1">
        <v>2</v>
      </c>
      <c r="J90" s="1" t="s">
        <v>45</v>
      </c>
      <c r="K90" s="1" t="str">
        <f>_xlfn.TEXTBEFORE(tbl_SaaS_Audit[[#This Row],[region]],"-")</f>
        <v>EU</v>
      </c>
      <c r="L90" s="8" t="str">
        <f>_xlfn.TEXTAFTER(tbl_SaaS_Audit[[#This Row],[region]],"-")</f>
        <v>CENTRAL</v>
      </c>
      <c r="M90" s="8">
        <f t="shared" si="1"/>
        <v>30</v>
      </c>
      <c r="N90" s="4">
        <f>tbl_SaaS_Audit[[#This Row],[Tenure_Months]]*tbl_SaaS_Audit[[#This Row],[Monthly_Revenue]]</f>
        <v>350914.8</v>
      </c>
      <c r="O90" s="3" t="str" cm="1">
        <f t="array" ref="O9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90" s="4" cm="1">
        <f t="array" ref="P90">_xlfn.IFS(tbl_SaaS_Audit[[#This Row],[Risk_Level]]="CRITICAL RISK",tbl_SaaS_Audit[[#This Row],[Monthly_Revenue]]*12,TRUE,0)</f>
        <v>0</v>
      </c>
    </row>
    <row r="91" spans="1:16">
      <c r="A91" s="1">
        <v>90</v>
      </c>
      <c r="B91" s="1" t="s">
        <v>125</v>
      </c>
      <c r="C91" s="1" t="s">
        <v>12</v>
      </c>
      <c r="D91" s="2">
        <v>45464</v>
      </c>
      <c r="E91" s="1" t="s">
        <v>41</v>
      </c>
      <c r="F91" s="4">
        <v>7183.13</v>
      </c>
      <c r="G91" s="1" t="s">
        <v>49</v>
      </c>
      <c r="H91" s="2">
        <v>46200</v>
      </c>
      <c r="I91" s="1">
        <v>13</v>
      </c>
      <c r="J91" s="1" t="s">
        <v>47</v>
      </c>
      <c r="K91" s="1" t="str">
        <f>_xlfn.TEXTBEFORE(tbl_SaaS_Audit[[#This Row],[region]],"-")</f>
        <v>NA</v>
      </c>
      <c r="L91" s="8" t="str">
        <f>_xlfn.TEXTAFTER(tbl_SaaS_Audit[[#This Row],[region]],"-")</f>
        <v>WEST</v>
      </c>
      <c r="M91" s="8">
        <f t="shared" si="1"/>
        <v>27</v>
      </c>
      <c r="N91" s="4">
        <f>tbl_SaaS_Audit[[#This Row],[Tenure_Months]]*tbl_SaaS_Audit[[#This Row],[Monthly_Revenue]]</f>
        <v>193944.51</v>
      </c>
      <c r="O91" s="3" t="str" cm="1">
        <f t="array" ref="O9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91" s="4" cm="1">
        <f t="array" ref="P91">_xlfn.IFS(tbl_SaaS_Audit[[#This Row],[Risk_Level]]="CRITICAL RISK",tbl_SaaS_Audit[[#This Row],[Monthly_Revenue]]*12,TRUE,0)</f>
        <v>0</v>
      </c>
    </row>
    <row r="92" spans="1:16">
      <c r="A92" s="1">
        <v>91</v>
      </c>
      <c r="B92" s="1" t="s">
        <v>126</v>
      </c>
      <c r="C92" s="1" t="s">
        <v>12</v>
      </c>
      <c r="D92" s="2">
        <v>45601</v>
      </c>
      <c r="E92" s="1" t="s">
        <v>41</v>
      </c>
      <c r="F92" s="4">
        <v>2099.67</v>
      </c>
      <c r="G92" s="1" t="s">
        <v>33</v>
      </c>
      <c r="H92" s="2">
        <v>46197</v>
      </c>
      <c r="I92" s="1">
        <v>14</v>
      </c>
      <c r="J92" s="1" t="s">
        <v>45</v>
      </c>
      <c r="K92" s="1" t="str">
        <f>_xlfn.TEXTBEFORE(tbl_SaaS_Audit[[#This Row],[region]],"-")</f>
        <v>EU</v>
      </c>
      <c r="L92" s="8" t="str">
        <f>_xlfn.TEXTAFTER(tbl_SaaS_Audit[[#This Row],[region]],"-")</f>
        <v>CENTRAL</v>
      </c>
      <c r="M92" s="8">
        <f t="shared" si="1"/>
        <v>19</v>
      </c>
      <c r="N92" s="4">
        <f>tbl_SaaS_Audit[[#This Row],[Tenure_Months]]*tbl_SaaS_Audit[[#This Row],[Monthly_Revenue]]</f>
        <v>39893.730000000003</v>
      </c>
      <c r="O92" s="3" t="str" cm="1">
        <f t="array" ref="O9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92" s="4" cm="1">
        <f t="array" ref="P92">_xlfn.IFS(tbl_SaaS_Audit[[#This Row],[Risk_Level]]="CRITICAL RISK",tbl_SaaS_Audit[[#This Row],[Monthly_Revenue]]*12,TRUE,0)</f>
        <v>0</v>
      </c>
    </row>
    <row r="93" spans="1:16">
      <c r="A93" s="1">
        <v>92</v>
      </c>
      <c r="B93" s="1" t="s">
        <v>77</v>
      </c>
      <c r="C93" s="1" t="s">
        <v>13</v>
      </c>
      <c r="D93" s="2">
        <v>45468</v>
      </c>
      <c r="E93" s="1" t="s">
        <v>41</v>
      </c>
      <c r="F93" s="4">
        <v>535.48</v>
      </c>
      <c r="G93" s="1" t="s">
        <v>36</v>
      </c>
      <c r="H93" s="2">
        <v>46094</v>
      </c>
      <c r="I93" s="1">
        <v>17</v>
      </c>
      <c r="J93" s="1" t="s">
        <v>34</v>
      </c>
      <c r="K93" s="1" t="str">
        <f>_xlfn.TEXTBEFORE(tbl_SaaS_Audit[[#This Row],[region]],"-")</f>
        <v>APAC</v>
      </c>
      <c r="L93" s="8" t="str">
        <f>_xlfn.TEXTAFTER(tbl_SaaS_Audit[[#This Row],[region]],"-")</f>
        <v>SGP</v>
      </c>
      <c r="M93" s="8">
        <f t="shared" si="1"/>
        <v>27</v>
      </c>
      <c r="N93" s="4">
        <f>tbl_SaaS_Audit[[#This Row],[Tenure_Months]]*tbl_SaaS_Audit[[#This Row],[Monthly_Revenue]]</f>
        <v>14457.960000000001</v>
      </c>
      <c r="O93" s="3" t="str" cm="1">
        <f t="array" ref="O9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93" s="4" cm="1">
        <f t="array" ref="P93">_xlfn.IFS(tbl_SaaS_Audit[[#This Row],[Risk_Level]]="CRITICAL RISK",tbl_SaaS_Audit[[#This Row],[Monthly_Revenue]]*12,TRUE,0)</f>
        <v>0</v>
      </c>
    </row>
    <row r="94" spans="1:16">
      <c r="A94" s="1">
        <v>93</v>
      </c>
      <c r="B94" s="1" t="s">
        <v>127</v>
      </c>
      <c r="C94" s="1" t="s">
        <v>11</v>
      </c>
      <c r="D94" s="2">
        <v>45466</v>
      </c>
      <c r="E94" s="1" t="s">
        <v>41</v>
      </c>
      <c r="F94" s="4">
        <v>7692.69</v>
      </c>
      <c r="G94" s="1" t="s">
        <v>36</v>
      </c>
      <c r="H94" s="2">
        <v>45945</v>
      </c>
      <c r="I94" s="1">
        <v>6</v>
      </c>
      <c r="J94" s="1" t="s">
        <v>51</v>
      </c>
      <c r="K94" s="1" t="str">
        <f>_xlfn.TEXTBEFORE(tbl_SaaS_Audit[[#This Row],[region]],"-")</f>
        <v>NA</v>
      </c>
      <c r="L94" s="8" t="str">
        <f>_xlfn.TEXTAFTER(tbl_SaaS_Audit[[#This Row],[region]],"-")</f>
        <v>EAST</v>
      </c>
      <c r="M94" s="8">
        <f t="shared" si="1"/>
        <v>27</v>
      </c>
      <c r="N94" s="4">
        <f>tbl_SaaS_Audit[[#This Row],[Tenure_Months]]*tbl_SaaS_Audit[[#This Row],[Monthly_Revenue]]</f>
        <v>207702.62999999998</v>
      </c>
      <c r="O94" s="3" t="str" cm="1">
        <f t="array" ref="O9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94" s="4" cm="1">
        <f t="array" ref="P94">_xlfn.IFS(tbl_SaaS_Audit[[#This Row],[Risk_Level]]="CRITICAL RISK",tbl_SaaS_Audit[[#This Row],[Monthly_Revenue]]*12,TRUE,0)</f>
        <v>0</v>
      </c>
    </row>
    <row r="95" spans="1:16">
      <c r="A95" s="1">
        <v>94</v>
      </c>
      <c r="B95" s="1" t="s">
        <v>128</v>
      </c>
      <c r="C95" s="1" t="s">
        <v>14</v>
      </c>
      <c r="D95" s="2">
        <v>45587</v>
      </c>
      <c r="E95" s="1" t="s">
        <v>32</v>
      </c>
      <c r="F95" s="4">
        <v>7054.14</v>
      </c>
      <c r="G95" s="1" t="s">
        <v>33</v>
      </c>
      <c r="H95" s="2">
        <v>45894</v>
      </c>
      <c r="I95" s="1">
        <v>5</v>
      </c>
      <c r="J95" s="1" t="s">
        <v>37</v>
      </c>
      <c r="K95" s="1" t="str">
        <f>_xlfn.TEXTBEFORE(tbl_SaaS_Audit[[#This Row],[region]],"-")</f>
        <v>MEA</v>
      </c>
      <c r="L95" s="8" t="str">
        <f>_xlfn.TEXTAFTER(tbl_SaaS_Audit[[#This Row],[region]],"-")</f>
        <v>EGY</v>
      </c>
      <c r="M95" s="8">
        <f t="shared" si="1"/>
        <v>10</v>
      </c>
      <c r="N95" s="4">
        <f>tbl_SaaS_Audit[[#This Row],[Tenure_Months]]*tbl_SaaS_Audit[[#This Row],[Monthly_Revenue]]</f>
        <v>70541.400000000009</v>
      </c>
      <c r="O95" s="3" t="str" cm="1">
        <f t="array" ref="O9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95" s="4" cm="1">
        <f t="array" ref="P95">_xlfn.IFS(tbl_SaaS_Audit[[#This Row],[Risk_Level]]="CRITICAL RISK",tbl_SaaS_Audit[[#This Row],[Monthly_Revenue]]*12,TRUE,0)</f>
        <v>0</v>
      </c>
    </row>
    <row r="96" spans="1:16">
      <c r="A96" s="1">
        <v>95</v>
      </c>
      <c r="B96" s="1" t="s">
        <v>129</v>
      </c>
      <c r="C96" s="1" t="s">
        <v>11</v>
      </c>
      <c r="D96" s="2">
        <v>45396</v>
      </c>
      <c r="E96" s="1" t="s">
        <v>39</v>
      </c>
      <c r="F96" s="4">
        <v>7506.5</v>
      </c>
      <c r="G96" s="1" t="s">
        <v>36</v>
      </c>
      <c r="H96" s="2">
        <v>46097</v>
      </c>
      <c r="I96" s="1">
        <v>5</v>
      </c>
      <c r="J96" s="1" t="s">
        <v>47</v>
      </c>
      <c r="K96" s="1" t="str">
        <f>_xlfn.TEXTBEFORE(tbl_SaaS_Audit[[#This Row],[region]],"-")</f>
        <v>NA</v>
      </c>
      <c r="L96" s="8" t="str">
        <f>_xlfn.TEXTAFTER(tbl_SaaS_Audit[[#This Row],[region]],"-")</f>
        <v>WEST</v>
      </c>
      <c r="M96" s="8">
        <f t="shared" si="1"/>
        <v>29</v>
      </c>
      <c r="N96" s="4">
        <f>tbl_SaaS_Audit[[#This Row],[Tenure_Months]]*tbl_SaaS_Audit[[#This Row],[Monthly_Revenue]]</f>
        <v>217688.5</v>
      </c>
      <c r="O96" s="3" t="str" cm="1">
        <f t="array" ref="O9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96" s="4" cm="1">
        <f t="array" ref="P96">_xlfn.IFS(tbl_SaaS_Audit[[#This Row],[Risk_Level]]="CRITICAL RISK",tbl_SaaS_Audit[[#This Row],[Monthly_Revenue]]*12,TRUE,0)</f>
        <v>0</v>
      </c>
    </row>
    <row r="97" spans="1:16">
      <c r="A97" s="1">
        <v>96</v>
      </c>
      <c r="B97" s="1" t="s">
        <v>130</v>
      </c>
      <c r="C97" s="1" t="s">
        <v>12</v>
      </c>
      <c r="D97" s="2">
        <v>45805</v>
      </c>
      <c r="E97" s="1" t="s">
        <v>39</v>
      </c>
      <c r="F97" s="4">
        <v>10563.74</v>
      </c>
      <c r="G97" s="1" t="s">
        <v>33</v>
      </c>
      <c r="H97" s="2">
        <v>45945</v>
      </c>
      <c r="I97" s="1">
        <v>11</v>
      </c>
      <c r="J97" s="1" t="s">
        <v>37</v>
      </c>
      <c r="K97" s="1" t="str">
        <f>_xlfn.TEXTBEFORE(tbl_SaaS_Audit[[#This Row],[region]],"-")</f>
        <v>MEA</v>
      </c>
      <c r="L97" s="8" t="str">
        <f>_xlfn.TEXTAFTER(tbl_SaaS_Audit[[#This Row],[region]],"-")</f>
        <v>EGY</v>
      </c>
      <c r="M97" s="8">
        <f t="shared" si="1"/>
        <v>5</v>
      </c>
      <c r="N97" s="4">
        <f>tbl_SaaS_Audit[[#This Row],[Tenure_Months]]*tbl_SaaS_Audit[[#This Row],[Monthly_Revenue]]</f>
        <v>52818.7</v>
      </c>
      <c r="O97" s="3" t="str" cm="1">
        <f t="array" ref="O9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97" s="4" cm="1">
        <f t="array" ref="P97">_xlfn.IFS(tbl_SaaS_Audit[[#This Row],[Risk_Level]]="CRITICAL RISK",tbl_SaaS_Audit[[#This Row],[Monthly_Revenue]]*12,TRUE,0)</f>
        <v>0</v>
      </c>
    </row>
    <row r="98" spans="1:16">
      <c r="A98" s="1">
        <v>97</v>
      </c>
      <c r="B98" s="1" t="s">
        <v>131</v>
      </c>
      <c r="C98" s="1" t="s">
        <v>15</v>
      </c>
      <c r="D98" s="2">
        <v>45762</v>
      </c>
      <c r="E98" s="1" t="s">
        <v>32</v>
      </c>
      <c r="F98" s="4">
        <v>4309.12</v>
      </c>
      <c r="G98" s="1" t="s">
        <v>36</v>
      </c>
      <c r="H98" s="1"/>
      <c r="I98" s="1">
        <v>17</v>
      </c>
      <c r="J98" s="1" t="s">
        <v>34</v>
      </c>
      <c r="K98" s="1" t="str">
        <f>_xlfn.TEXTBEFORE(tbl_SaaS_Audit[[#This Row],[region]],"-")</f>
        <v>APAC</v>
      </c>
      <c r="L98" s="8" t="str">
        <f>_xlfn.TEXTAFTER(tbl_SaaS_Audit[[#This Row],[region]],"-")</f>
        <v>SGP</v>
      </c>
      <c r="M98" s="8">
        <f t="shared" si="1"/>
        <v>17</v>
      </c>
      <c r="N98" s="4">
        <f>tbl_SaaS_Audit[[#This Row],[Tenure_Months]]*tbl_SaaS_Audit[[#This Row],[Monthly_Revenue]]</f>
        <v>73255.039999999994</v>
      </c>
      <c r="O98" s="3" t="str" cm="1">
        <f t="array" ref="O9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98" s="4" cm="1">
        <f t="array" ref="P98">_xlfn.IFS(tbl_SaaS_Audit[[#This Row],[Risk_Level]]="CRITICAL RISK",tbl_SaaS_Audit[[#This Row],[Monthly_Revenue]]*12,TRUE,0)</f>
        <v>0</v>
      </c>
    </row>
    <row r="99" spans="1:16">
      <c r="A99" s="1">
        <v>98</v>
      </c>
      <c r="B99" s="1" t="s">
        <v>132</v>
      </c>
      <c r="C99" s="1" t="s">
        <v>12</v>
      </c>
      <c r="D99" s="2">
        <v>45728</v>
      </c>
      <c r="E99" s="1" t="s">
        <v>41</v>
      </c>
      <c r="F99" s="4">
        <v>4681.7299999999996</v>
      </c>
      <c r="G99" s="1" t="s">
        <v>42</v>
      </c>
      <c r="H99" s="2">
        <v>46007</v>
      </c>
      <c r="I99" s="1">
        <v>0</v>
      </c>
      <c r="J99" s="1" t="s">
        <v>34</v>
      </c>
      <c r="K99" s="1" t="str">
        <f>_xlfn.TEXTBEFORE(tbl_SaaS_Audit[[#This Row],[region]],"-")</f>
        <v>APAC</v>
      </c>
      <c r="L99" s="8" t="str">
        <f>_xlfn.TEXTAFTER(tbl_SaaS_Audit[[#This Row],[region]],"-")</f>
        <v>SGP</v>
      </c>
      <c r="M99" s="8">
        <f t="shared" si="1"/>
        <v>18</v>
      </c>
      <c r="N99" s="4">
        <f>tbl_SaaS_Audit[[#This Row],[Tenure_Months]]*tbl_SaaS_Audit[[#This Row],[Monthly_Revenue]]</f>
        <v>84271.139999999985</v>
      </c>
      <c r="O99" s="3" t="str" cm="1">
        <f t="array" ref="O9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99" s="4" cm="1">
        <f t="array" ref="P99">_xlfn.IFS(tbl_SaaS_Audit[[#This Row],[Risk_Level]]="CRITICAL RISK",tbl_SaaS_Audit[[#This Row],[Monthly_Revenue]]*12,TRUE,0)</f>
        <v>0</v>
      </c>
    </row>
    <row r="100" spans="1:16">
      <c r="A100" s="1">
        <v>99</v>
      </c>
      <c r="B100" s="1" t="s">
        <v>94</v>
      </c>
      <c r="C100" s="1" t="s">
        <v>14</v>
      </c>
      <c r="D100" s="2">
        <v>45603</v>
      </c>
      <c r="E100" s="1" t="s">
        <v>41</v>
      </c>
      <c r="F100" s="4">
        <v>11560.41</v>
      </c>
      <c r="G100" s="1" t="s">
        <v>49</v>
      </c>
      <c r="H100" s="2">
        <v>46174</v>
      </c>
      <c r="I100" s="1">
        <v>3</v>
      </c>
      <c r="J100" s="1" t="s">
        <v>45</v>
      </c>
      <c r="K100" s="1" t="str">
        <f>_xlfn.TEXTBEFORE(tbl_SaaS_Audit[[#This Row],[region]],"-")</f>
        <v>EU</v>
      </c>
      <c r="L100" s="8" t="str">
        <f>_xlfn.TEXTAFTER(tbl_SaaS_Audit[[#This Row],[region]],"-")</f>
        <v>CENTRAL</v>
      </c>
      <c r="M100" s="8">
        <f t="shared" si="1"/>
        <v>22</v>
      </c>
      <c r="N100" s="4">
        <f>tbl_SaaS_Audit[[#This Row],[Tenure_Months]]*tbl_SaaS_Audit[[#This Row],[Monthly_Revenue]]</f>
        <v>254329.02</v>
      </c>
      <c r="O100" s="3" t="str" cm="1">
        <f t="array" ref="O10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00" s="4" cm="1">
        <f t="array" ref="P100">_xlfn.IFS(tbl_SaaS_Audit[[#This Row],[Risk_Level]]="CRITICAL RISK",tbl_SaaS_Audit[[#This Row],[Monthly_Revenue]]*12,TRUE,0)</f>
        <v>0</v>
      </c>
    </row>
    <row r="101" spans="1:16">
      <c r="A101" s="1">
        <v>100</v>
      </c>
      <c r="B101" s="1" t="s">
        <v>110</v>
      </c>
      <c r="C101" s="1" t="s">
        <v>13</v>
      </c>
      <c r="D101" s="2">
        <v>45338</v>
      </c>
      <c r="E101" s="1" t="s">
        <v>32</v>
      </c>
      <c r="F101" s="4">
        <v>12592.13</v>
      </c>
      <c r="G101" s="1" t="s">
        <v>42</v>
      </c>
      <c r="H101" s="2">
        <v>45877</v>
      </c>
      <c r="I101" s="1">
        <v>11</v>
      </c>
      <c r="J101" s="1" t="s">
        <v>34</v>
      </c>
      <c r="K101" s="1" t="str">
        <f>_xlfn.TEXTBEFORE(tbl_SaaS_Audit[[#This Row],[region]],"-")</f>
        <v>APAC</v>
      </c>
      <c r="L101" s="8" t="str">
        <f>_xlfn.TEXTAFTER(tbl_SaaS_Audit[[#This Row],[region]],"-")</f>
        <v>SGP</v>
      </c>
      <c r="M101" s="8">
        <f t="shared" si="1"/>
        <v>31</v>
      </c>
      <c r="N101" s="4">
        <f>tbl_SaaS_Audit[[#This Row],[Tenure_Months]]*tbl_SaaS_Audit[[#This Row],[Monthly_Revenue]]</f>
        <v>390356.02999999997</v>
      </c>
      <c r="O101" s="3" t="str" cm="1">
        <f t="array" ref="O10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01" s="4" cm="1">
        <f t="array" ref="P101">_xlfn.IFS(tbl_SaaS_Audit[[#This Row],[Risk_Level]]="CRITICAL RISK",tbl_SaaS_Audit[[#This Row],[Monthly_Revenue]]*12,TRUE,0)</f>
        <v>151105.56</v>
      </c>
    </row>
    <row r="102" spans="1:16">
      <c r="A102" s="1">
        <v>101</v>
      </c>
      <c r="B102" s="1" t="s">
        <v>133</v>
      </c>
      <c r="C102" s="1" t="s">
        <v>14</v>
      </c>
      <c r="D102" s="2">
        <v>45675</v>
      </c>
      <c r="E102" s="1" t="s">
        <v>41</v>
      </c>
      <c r="F102" s="4">
        <v>10967.42</v>
      </c>
      <c r="G102" s="1" t="s">
        <v>33</v>
      </c>
      <c r="H102" s="1"/>
      <c r="I102" s="1">
        <v>5</v>
      </c>
      <c r="J102" s="1" t="s">
        <v>34</v>
      </c>
      <c r="K102" s="1" t="str">
        <f>_xlfn.TEXTBEFORE(tbl_SaaS_Audit[[#This Row],[region]],"-")</f>
        <v>APAC</v>
      </c>
      <c r="L102" s="8" t="str">
        <f>_xlfn.TEXTAFTER(tbl_SaaS_Audit[[#This Row],[region]],"-")</f>
        <v>SGP</v>
      </c>
      <c r="M102" s="8">
        <f t="shared" si="1"/>
        <v>20</v>
      </c>
      <c r="N102" s="4">
        <f>tbl_SaaS_Audit[[#This Row],[Tenure_Months]]*tbl_SaaS_Audit[[#This Row],[Monthly_Revenue]]</f>
        <v>219348.4</v>
      </c>
      <c r="O102" s="3" t="str" cm="1">
        <f t="array" ref="O10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02" s="4" cm="1">
        <f t="array" ref="P102">_xlfn.IFS(tbl_SaaS_Audit[[#This Row],[Risk_Level]]="CRITICAL RISK",tbl_SaaS_Audit[[#This Row],[Monthly_Revenue]]*12,TRUE,0)</f>
        <v>0</v>
      </c>
    </row>
    <row r="103" spans="1:16">
      <c r="A103" s="1">
        <v>102</v>
      </c>
      <c r="B103" s="1" t="s">
        <v>134</v>
      </c>
      <c r="C103" s="1" t="s">
        <v>15</v>
      </c>
      <c r="D103" s="2">
        <v>45693</v>
      </c>
      <c r="E103" s="1" t="s">
        <v>32</v>
      </c>
      <c r="F103" s="4">
        <v>3944.66</v>
      </c>
      <c r="G103" s="1" t="s">
        <v>49</v>
      </c>
      <c r="H103" s="2">
        <v>46166</v>
      </c>
      <c r="I103" s="1">
        <v>10</v>
      </c>
      <c r="J103" s="1" t="s">
        <v>51</v>
      </c>
      <c r="K103" s="1" t="str">
        <f>_xlfn.TEXTBEFORE(tbl_SaaS_Audit[[#This Row],[region]],"-")</f>
        <v>NA</v>
      </c>
      <c r="L103" s="8" t="str">
        <f>_xlfn.TEXTAFTER(tbl_SaaS_Audit[[#This Row],[region]],"-")</f>
        <v>EAST</v>
      </c>
      <c r="M103" s="8">
        <f t="shared" si="1"/>
        <v>19</v>
      </c>
      <c r="N103" s="4">
        <f>tbl_SaaS_Audit[[#This Row],[Tenure_Months]]*tbl_SaaS_Audit[[#This Row],[Monthly_Revenue]]</f>
        <v>74948.539999999994</v>
      </c>
      <c r="O103" s="3" t="str" cm="1">
        <f t="array" ref="O10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03" s="4" cm="1">
        <f t="array" ref="P103">_xlfn.IFS(tbl_SaaS_Audit[[#This Row],[Risk_Level]]="CRITICAL RISK",tbl_SaaS_Audit[[#This Row],[Monthly_Revenue]]*12,TRUE,0)</f>
        <v>0</v>
      </c>
    </row>
    <row r="104" spans="1:16">
      <c r="A104" s="1">
        <v>103</v>
      </c>
      <c r="B104" s="1" t="s">
        <v>135</v>
      </c>
      <c r="C104" s="1" t="s">
        <v>11</v>
      </c>
      <c r="D104" s="2">
        <v>45528</v>
      </c>
      <c r="E104" s="1" t="s">
        <v>32</v>
      </c>
      <c r="F104" s="4">
        <v>14299.59</v>
      </c>
      <c r="G104" s="1" t="s">
        <v>33</v>
      </c>
      <c r="H104" s="2">
        <v>45892</v>
      </c>
      <c r="I104" s="1">
        <v>3</v>
      </c>
      <c r="J104" s="1" t="s">
        <v>47</v>
      </c>
      <c r="K104" s="1" t="str">
        <f>_xlfn.TEXTBEFORE(tbl_SaaS_Audit[[#This Row],[region]],"-")</f>
        <v>NA</v>
      </c>
      <c r="L104" s="8" t="str">
        <f>_xlfn.TEXTAFTER(tbl_SaaS_Audit[[#This Row],[region]],"-")</f>
        <v>WEST</v>
      </c>
      <c r="M104" s="8">
        <f t="shared" si="1"/>
        <v>12</v>
      </c>
      <c r="N104" s="4">
        <f>tbl_SaaS_Audit[[#This Row],[Tenure_Months]]*tbl_SaaS_Audit[[#This Row],[Monthly_Revenue]]</f>
        <v>171595.08000000002</v>
      </c>
      <c r="O104" s="3" t="str" cm="1">
        <f t="array" ref="O10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04" s="4" cm="1">
        <f t="array" ref="P104">_xlfn.IFS(tbl_SaaS_Audit[[#This Row],[Risk_Level]]="CRITICAL RISK",tbl_SaaS_Audit[[#This Row],[Monthly_Revenue]]*12,TRUE,0)</f>
        <v>0</v>
      </c>
    </row>
    <row r="105" spans="1:16">
      <c r="A105" s="1">
        <v>104</v>
      </c>
      <c r="B105" s="1" t="s">
        <v>136</v>
      </c>
      <c r="C105" s="1" t="s">
        <v>13</v>
      </c>
      <c r="D105" s="2">
        <v>45516</v>
      </c>
      <c r="E105" s="1" t="s">
        <v>39</v>
      </c>
      <c r="F105" s="4">
        <v>5574.31</v>
      </c>
      <c r="G105" s="1" t="s">
        <v>49</v>
      </c>
      <c r="H105" s="2">
        <v>45912</v>
      </c>
      <c r="I105" s="1">
        <v>12</v>
      </c>
      <c r="J105" s="1" t="s">
        <v>45</v>
      </c>
      <c r="K105" s="1" t="str">
        <f>_xlfn.TEXTBEFORE(tbl_SaaS_Audit[[#This Row],[region]],"-")</f>
        <v>EU</v>
      </c>
      <c r="L105" s="8" t="str">
        <f>_xlfn.TEXTAFTER(tbl_SaaS_Audit[[#This Row],[region]],"-")</f>
        <v>CENTRAL</v>
      </c>
      <c r="M105" s="8">
        <f t="shared" si="1"/>
        <v>25</v>
      </c>
      <c r="N105" s="4">
        <f>tbl_SaaS_Audit[[#This Row],[Tenure_Months]]*tbl_SaaS_Audit[[#This Row],[Monthly_Revenue]]</f>
        <v>139357.75</v>
      </c>
      <c r="O105" s="3" t="str" cm="1">
        <f t="array" ref="O10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05" s="4" cm="1">
        <f t="array" ref="P105">_xlfn.IFS(tbl_SaaS_Audit[[#This Row],[Risk_Level]]="CRITICAL RISK",tbl_SaaS_Audit[[#This Row],[Monthly_Revenue]]*12,TRUE,0)</f>
        <v>0</v>
      </c>
    </row>
    <row r="106" spans="1:16">
      <c r="A106" s="1">
        <v>105</v>
      </c>
      <c r="B106" s="1" t="s">
        <v>48</v>
      </c>
      <c r="C106" s="1" t="s">
        <v>13</v>
      </c>
      <c r="D106" s="2">
        <v>45623</v>
      </c>
      <c r="E106" s="1" t="s">
        <v>41</v>
      </c>
      <c r="F106" s="4">
        <v>2720.54</v>
      </c>
      <c r="G106" s="1" t="s">
        <v>36</v>
      </c>
      <c r="H106" s="2">
        <v>46251</v>
      </c>
      <c r="I106" s="1">
        <v>0</v>
      </c>
      <c r="J106" s="1" t="s">
        <v>51</v>
      </c>
      <c r="K106" s="1" t="str">
        <f>_xlfn.TEXTBEFORE(tbl_SaaS_Audit[[#This Row],[region]],"-")</f>
        <v>NA</v>
      </c>
      <c r="L106" s="8" t="str">
        <f>_xlfn.TEXTAFTER(tbl_SaaS_Audit[[#This Row],[region]],"-")</f>
        <v>EAST</v>
      </c>
      <c r="M106" s="8">
        <f t="shared" si="1"/>
        <v>22</v>
      </c>
      <c r="N106" s="4">
        <f>tbl_SaaS_Audit[[#This Row],[Tenure_Months]]*tbl_SaaS_Audit[[#This Row],[Monthly_Revenue]]</f>
        <v>59851.88</v>
      </c>
      <c r="O106" s="3" t="str" cm="1">
        <f t="array" ref="O10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06" s="4" cm="1">
        <f t="array" ref="P106">_xlfn.IFS(tbl_SaaS_Audit[[#This Row],[Risk_Level]]="CRITICAL RISK",tbl_SaaS_Audit[[#This Row],[Monthly_Revenue]]*12,TRUE,0)</f>
        <v>0</v>
      </c>
    </row>
    <row r="107" spans="1:16">
      <c r="A107" s="1">
        <v>106</v>
      </c>
      <c r="B107" s="1" t="s">
        <v>137</v>
      </c>
      <c r="C107" s="1" t="s">
        <v>13</v>
      </c>
      <c r="D107" s="2">
        <v>45585</v>
      </c>
      <c r="E107" s="1" t="s">
        <v>39</v>
      </c>
      <c r="F107" s="4">
        <v>3805.79</v>
      </c>
      <c r="G107" s="1" t="s">
        <v>49</v>
      </c>
      <c r="H107" s="2">
        <v>45988</v>
      </c>
      <c r="I107" s="1">
        <v>14</v>
      </c>
      <c r="J107" s="1" t="s">
        <v>37</v>
      </c>
      <c r="K107" s="1" t="str">
        <f>_xlfn.TEXTBEFORE(tbl_SaaS_Audit[[#This Row],[region]],"-")</f>
        <v>MEA</v>
      </c>
      <c r="L107" s="8" t="str">
        <f>_xlfn.TEXTAFTER(tbl_SaaS_Audit[[#This Row],[region]],"-")</f>
        <v>EGY</v>
      </c>
      <c r="M107" s="8">
        <f t="shared" si="1"/>
        <v>23</v>
      </c>
      <c r="N107" s="4">
        <f>tbl_SaaS_Audit[[#This Row],[Tenure_Months]]*tbl_SaaS_Audit[[#This Row],[Monthly_Revenue]]</f>
        <v>87533.17</v>
      </c>
      <c r="O107" s="3" t="str" cm="1">
        <f t="array" ref="O10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07" s="4" cm="1">
        <f t="array" ref="P107">_xlfn.IFS(tbl_SaaS_Audit[[#This Row],[Risk_Level]]="CRITICAL RISK",tbl_SaaS_Audit[[#This Row],[Monthly_Revenue]]*12,TRUE,0)</f>
        <v>0</v>
      </c>
    </row>
    <row r="108" spans="1:16">
      <c r="A108" s="1">
        <v>107</v>
      </c>
      <c r="B108" s="1" t="s">
        <v>108</v>
      </c>
      <c r="C108" s="1" t="s">
        <v>12</v>
      </c>
      <c r="D108" s="2">
        <v>45534</v>
      </c>
      <c r="E108" s="1" t="s">
        <v>39</v>
      </c>
      <c r="F108" s="4">
        <v>1887.97</v>
      </c>
      <c r="G108" s="1" t="s">
        <v>42</v>
      </c>
      <c r="H108" s="2">
        <v>45939</v>
      </c>
      <c r="I108" s="1">
        <v>2</v>
      </c>
      <c r="J108" s="1" t="s">
        <v>47</v>
      </c>
      <c r="K108" s="1" t="str">
        <f>_xlfn.TEXTBEFORE(tbl_SaaS_Audit[[#This Row],[region]],"-")</f>
        <v>NA</v>
      </c>
      <c r="L108" s="8" t="str">
        <f>_xlfn.TEXTAFTER(tbl_SaaS_Audit[[#This Row],[region]],"-")</f>
        <v>WEST</v>
      </c>
      <c r="M108" s="8">
        <f t="shared" si="1"/>
        <v>25</v>
      </c>
      <c r="N108" s="4">
        <f>tbl_SaaS_Audit[[#This Row],[Tenure_Months]]*tbl_SaaS_Audit[[#This Row],[Monthly_Revenue]]</f>
        <v>47199.25</v>
      </c>
      <c r="O108" s="3" t="str" cm="1">
        <f t="array" ref="O10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08" s="4" cm="1">
        <f t="array" ref="P108">_xlfn.IFS(tbl_SaaS_Audit[[#This Row],[Risk_Level]]="CRITICAL RISK",tbl_SaaS_Audit[[#This Row],[Monthly_Revenue]]*12,TRUE,0)</f>
        <v>0</v>
      </c>
    </row>
    <row r="109" spans="1:16">
      <c r="A109" s="1">
        <v>108</v>
      </c>
      <c r="B109" s="1" t="s">
        <v>138</v>
      </c>
      <c r="C109" s="1" t="s">
        <v>15</v>
      </c>
      <c r="D109" s="2">
        <v>45618</v>
      </c>
      <c r="E109" s="1" t="s">
        <v>39</v>
      </c>
      <c r="F109" s="4">
        <v>12761.09</v>
      </c>
      <c r="G109" s="1" t="s">
        <v>36</v>
      </c>
      <c r="H109" s="2">
        <v>46171</v>
      </c>
      <c r="I109" s="1">
        <v>11</v>
      </c>
      <c r="J109" s="1" t="s">
        <v>45</v>
      </c>
      <c r="K109" s="1" t="str">
        <f>_xlfn.TEXTBEFORE(tbl_SaaS_Audit[[#This Row],[region]],"-")</f>
        <v>EU</v>
      </c>
      <c r="L109" s="8" t="str">
        <f>_xlfn.TEXTAFTER(tbl_SaaS_Audit[[#This Row],[region]],"-")</f>
        <v>CENTRAL</v>
      </c>
      <c r="M109" s="8">
        <f t="shared" si="1"/>
        <v>22</v>
      </c>
      <c r="N109" s="4">
        <f>tbl_SaaS_Audit[[#This Row],[Tenure_Months]]*tbl_SaaS_Audit[[#This Row],[Monthly_Revenue]]</f>
        <v>280743.98</v>
      </c>
      <c r="O109" s="3" t="str" cm="1">
        <f t="array" ref="O10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09" s="4" cm="1">
        <f t="array" ref="P109">_xlfn.IFS(tbl_SaaS_Audit[[#This Row],[Risk_Level]]="CRITICAL RISK",tbl_SaaS_Audit[[#This Row],[Monthly_Revenue]]*12,TRUE,0)</f>
        <v>0</v>
      </c>
    </row>
    <row r="110" spans="1:16">
      <c r="A110" s="1">
        <v>109</v>
      </c>
      <c r="B110" s="1" t="s">
        <v>139</v>
      </c>
      <c r="C110" s="1" t="s">
        <v>15</v>
      </c>
      <c r="D110" s="2">
        <v>45430</v>
      </c>
      <c r="E110" s="1" t="s">
        <v>41</v>
      </c>
      <c r="F110" s="4">
        <v>14715.67</v>
      </c>
      <c r="G110" s="1" t="s">
        <v>42</v>
      </c>
      <c r="H110" s="2">
        <v>45878</v>
      </c>
      <c r="I110" s="1">
        <v>15</v>
      </c>
      <c r="J110" s="1" t="s">
        <v>37</v>
      </c>
      <c r="K110" s="1" t="str">
        <f>_xlfn.TEXTBEFORE(tbl_SaaS_Audit[[#This Row],[region]],"-")</f>
        <v>MEA</v>
      </c>
      <c r="L110" s="8" t="str">
        <f>_xlfn.TEXTAFTER(tbl_SaaS_Audit[[#This Row],[region]],"-")</f>
        <v>EGY</v>
      </c>
      <c r="M110" s="8">
        <f t="shared" si="1"/>
        <v>28</v>
      </c>
      <c r="N110" s="4">
        <f>tbl_SaaS_Audit[[#This Row],[Tenure_Months]]*tbl_SaaS_Audit[[#This Row],[Monthly_Revenue]]</f>
        <v>412038.76</v>
      </c>
      <c r="O110" s="3" t="str" cm="1">
        <f t="array" ref="O11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10" s="4" cm="1">
        <f t="array" ref="P110">_xlfn.IFS(tbl_SaaS_Audit[[#This Row],[Risk_Level]]="CRITICAL RISK",tbl_SaaS_Audit[[#This Row],[Monthly_Revenue]]*12,TRUE,0)</f>
        <v>176588.04</v>
      </c>
    </row>
    <row r="111" spans="1:16">
      <c r="A111" s="1">
        <v>110</v>
      </c>
      <c r="B111" s="1" t="s">
        <v>90</v>
      </c>
      <c r="C111" s="1" t="s">
        <v>13</v>
      </c>
      <c r="D111" s="2">
        <v>45470</v>
      </c>
      <c r="E111" s="1" t="s">
        <v>41</v>
      </c>
      <c r="F111" s="4">
        <v>1917.21</v>
      </c>
      <c r="G111" s="1" t="s">
        <v>36</v>
      </c>
      <c r="H111" s="2">
        <v>46254</v>
      </c>
      <c r="I111" s="1">
        <v>3</v>
      </c>
      <c r="J111" s="1" t="s">
        <v>45</v>
      </c>
      <c r="K111" s="1" t="str">
        <f>_xlfn.TEXTBEFORE(tbl_SaaS_Audit[[#This Row],[region]],"-")</f>
        <v>EU</v>
      </c>
      <c r="L111" s="8" t="str">
        <f>_xlfn.TEXTAFTER(tbl_SaaS_Audit[[#This Row],[region]],"-")</f>
        <v>CENTRAL</v>
      </c>
      <c r="M111" s="8">
        <f t="shared" si="1"/>
        <v>27</v>
      </c>
      <c r="N111" s="4">
        <f>tbl_SaaS_Audit[[#This Row],[Tenure_Months]]*tbl_SaaS_Audit[[#This Row],[Monthly_Revenue]]</f>
        <v>51764.67</v>
      </c>
      <c r="O111" s="3" t="str" cm="1">
        <f t="array" ref="O11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11" s="4" cm="1">
        <f t="array" ref="P111">_xlfn.IFS(tbl_SaaS_Audit[[#This Row],[Risk_Level]]="CRITICAL RISK",tbl_SaaS_Audit[[#This Row],[Monthly_Revenue]]*12,TRUE,0)</f>
        <v>0</v>
      </c>
    </row>
    <row r="112" spans="1:16">
      <c r="A112" s="1">
        <v>111</v>
      </c>
      <c r="B112" s="1" t="s">
        <v>140</v>
      </c>
      <c r="C112" s="1" t="s">
        <v>13</v>
      </c>
      <c r="D112" s="2">
        <v>45416</v>
      </c>
      <c r="E112" s="1" t="s">
        <v>39</v>
      </c>
      <c r="F112" s="4">
        <v>14074.41</v>
      </c>
      <c r="G112" s="1" t="s">
        <v>49</v>
      </c>
      <c r="H112" s="2">
        <v>46224</v>
      </c>
      <c r="I112" s="1">
        <v>3</v>
      </c>
      <c r="J112" s="1" t="s">
        <v>47</v>
      </c>
      <c r="K112" s="1" t="str">
        <f>_xlfn.TEXTBEFORE(tbl_SaaS_Audit[[#This Row],[region]],"-")</f>
        <v>NA</v>
      </c>
      <c r="L112" s="8" t="str">
        <f>_xlfn.TEXTAFTER(tbl_SaaS_Audit[[#This Row],[region]],"-")</f>
        <v>WEST</v>
      </c>
      <c r="M112" s="8">
        <f t="shared" si="1"/>
        <v>28</v>
      </c>
      <c r="N112" s="4">
        <f>tbl_SaaS_Audit[[#This Row],[Tenure_Months]]*tbl_SaaS_Audit[[#This Row],[Monthly_Revenue]]</f>
        <v>394083.48</v>
      </c>
      <c r="O112" s="3" t="str" cm="1">
        <f t="array" ref="O11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12" s="4" cm="1">
        <f t="array" ref="P112">_xlfn.IFS(tbl_SaaS_Audit[[#This Row],[Risk_Level]]="CRITICAL RISK",tbl_SaaS_Audit[[#This Row],[Monthly_Revenue]]*12,TRUE,0)</f>
        <v>0</v>
      </c>
    </row>
    <row r="113" spans="1:16">
      <c r="A113" s="1">
        <v>112</v>
      </c>
      <c r="B113" s="1" t="s">
        <v>141</v>
      </c>
      <c r="C113" s="1" t="s">
        <v>14</v>
      </c>
      <c r="D113" s="2">
        <v>45580</v>
      </c>
      <c r="E113" s="1" t="s">
        <v>32</v>
      </c>
      <c r="F113" s="4">
        <v>3120.29</v>
      </c>
      <c r="G113" s="1" t="s">
        <v>42</v>
      </c>
      <c r="H113" s="2">
        <v>45935</v>
      </c>
      <c r="I113" s="1">
        <v>11</v>
      </c>
      <c r="J113" s="1" t="s">
        <v>45</v>
      </c>
      <c r="K113" s="1" t="str">
        <f>_xlfn.TEXTBEFORE(tbl_SaaS_Audit[[#This Row],[region]],"-")</f>
        <v>EU</v>
      </c>
      <c r="L113" s="8" t="str">
        <f>_xlfn.TEXTAFTER(tbl_SaaS_Audit[[#This Row],[region]],"-")</f>
        <v>CENTRAL</v>
      </c>
      <c r="M113" s="8">
        <f t="shared" si="1"/>
        <v>23</v>
      </c>
      <c r="N113" s="4">
        <f>tbl_SaaS_Audit[[#This Row],[Tenure_Months]]*tbl_SaaS_Audit[[#This Row],[Monthly_Revenue]]</f>
        <v>71766.67</v>
      </c>
      <c r="O113" s="3" t="str" cm="1">
        <f t="array" ref="O11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13" s="4" cm="1">
        <f t="array" ref="P113">_xlfn.IFS(tbl_SaaS_Audit[[#This Row],[Risk_Level]]="CRITICAL RISK",tbl_SaaS_Audit[[#This Row],[Monthly_Revenue]]*12,TRUE,0)</f>
        <v>37443.479999999996</v>
      </c>
    </row>
    <row r="114" spans="1:16">
      <c r="A114" s="1">
        <v>113</v>
      </c>
      <c r="B114" s="1" t="s">
        <v>132</v>
      </c>
      <c r="C114" s="1" t="s">
        <v>11</v>
      </c>
      <c r="D114" s="2">
        <v>45589</v>
      </c>
      <c r="E114" s="1" t="s">
        <v>41</v>
      </c>
      <c r="F114" s="4">
        <v>5161.7299999999996</v>
      </c>
      <c r="G114" s="1" t="s">
        <v>36</v>
      </c>
      <c r="H114" s="2">
        <v>46068</v>
      </c>
      <c r="I114" s="1">
        <v>2</v>
      </c>
      <c r="J114" s="1" t="s">
        <v>45</v>
      </c>
      <c r="K114" s="1" t="str">
        <f>_xlfn.TEXTBEFORE(tbl_SaaS_Audit[[#This Row],[region]],"-")</f>
        <v>EU</v>
      </c>
      <c r="L114" s="8" t="str">
        <f>_xlfn.TEXTAFTER(tbl_SaaS_Audit[[#This Row],[region]],"-")</f>
        <v>CENTRAL</v>
      </c>
      <c r="M114" s="8">
        <f t="shared" si="1"/>
        <v>23</v>
      </c>
      <c r="N114" s="4">
        <f>tbl_SaaS_Audit[[#This Row],[Tenure_Months]]*tbl_SaaS_Audit[[#This Row],[Monthly_Revenue]]</f>
        <v>118719.79</v>
      </c>
      <c r="O114" s="3" t="str" cm="1">
        <f t="array" ref="O11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14" s="4" cm="1">
        <f t="array" ref="P114">_xlfn.IFS(tbl_SaaS_Audit[[#This Row],[Risk_Level]]="CRITICAL RISK",tbl_SaaS_Audit[[#This Row],[Monthly_Revenue]]*12,TRUE,0)</f>
        <v>0</v>
      </c>
    </row>
    <row r="115" spans="1:16">
      <c r="A115" s="1">
        <v>114</v>
      </c>
      <c r="B115" s="1" t="s">
        <v>142</v>
      </c>
      <c r="C115" s="1" t="s">
        <v>15</v>
      </c>
      <c r="D115" s="2">
        <v>45713</v>
      </c>
      <c r="E115" s="1" t="s">
        <v>39</v>
      </c>
      <c r="F115" s="4">
        <v>4270.7700000000004</v>
      </c>
      <c r="G115" s="1" t="s">
        <v>36</v>
      </c>
      <c r="H115" s="2">
        <v>46051</v>
      </c>
      <c r="I115" s="1">
        <v>9</v>
      </c>
      <c r="J115" s="1" t="s">
        <v>37</v>
      </c>
      <c r="K115" s="1" t="str">
        <f>_xlfn.TEXTBEFORE(tbl_SaaS_Audit[[#This Row],[region]],"-")</f>
        <v>MEA</v>
      </c>
      <c r="L115" s="8" t="str">
        <f>_xlfn.TEXTAFTER(tbl_SaaS_Audit[[#This Row],[region]],"-")</f>
        <v>EGY</v>
      </c>
      <c r="M115" s="8">
        <f t="shared" si="1"/>
        <v>19</v>
      </c>
      <c r="N115" s="4">
        <f>tbl_SaaS_Audit[[#This Row],[Tenure_Months]]*tbl_SaaS_Audit[[#This Row],[Monthly_Revenue]]</f>
        <v>81144.63</v>
      </c>
      <c r="O115" s="3" t="str" cm="1">
        <f t="array" ref="O11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15" s="4" cm="1">
        <f t="array" ref="P115">_xlfn.IFS(tbl_SaaS_Audit[[#This Row],[Risk_Level]]="CRITICAL RISK",tbl_SaaS_Audit[[#This Row],[Monthly_Revenue]]*12,TRUE,0)</f>
        <v>0</v>
      </c>
    </row>
    <row r="116" spans="1:16">
      <c r="A116" s="1">
        <v>115</v>
      </c>
      <c r="B116" s="1" t="s">
        <v>143</v>
      </c>
      <c r="C116" s="1" t="s">
        <v>11</v>
      </c>
      <c r="D116" s="2">
        <v>45719</v>
      </c>
      <c r="E116" s="1" t="s">
        <v>32</v>
      </c>
      <c r="F116" s="4">
        <v>3837.25</v>
      </c>
      <c r="G116" s="1" t="s">
        <v>49</v>
      </c>
      <c r="H116" s="2">
        <v>46106</v>
      </c>
      <c r="I116" s="1">
        <v>8</v>
      </c>
      <c r="J116" s="1" t="s">
        <v>37</v>
      </c>
      <c r="K116" s="1" t="str">
        <f>_xlfn.TEXTBEFORE(tbl_SaaS_Audit[[#This Row],[region]],"-")</f>
        <v>MEA</v>
      </c>
      <c r="L116" s="8" t="str">
        <f>_xlfn.TEXTAFTER(tbl_SaaS_Audit[[#This Row],[region]],"-")</f>
        <v>EGY</v>
      </c>
      <c r="M116" s="8">
        <f t="shared" si="1"/>
        <v>18</v>
      </c>
      <c r="N116" s="4">
        <f>tbl_SaaS_Audit[[#This Row],[Tenure_Months]]*tbl_SaaS_Audit[[#This Row],[Monthly_Revenue]]</f>
        <v>69070.5</v>
      </c>
      <c r="O116" s="3" t="str" cm="1">
        <f t="array" ref="O11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16" s="4" cm="1">
        <f t="array" ref="P116">_xlfn.IFS(tbl_SaaS_Audit[[#This Row],[Risk_Level]]="CRITICAL RISK",tbl_SaaS_Audit[[#This Row],[Monthly_Revenue]]*12,TRUE,0)</f>
        <v>0</v>
      </c>
    </row>
    <row r="117" spans="1:16">
      <c r="A117" s="1">
        <v>116</v>
      </c>
      <c r="B117" s="1" t="s">
        <v>144</v>
      </c>
      <c r="C117" s="1" t="s">
        <v>15</v>
      </c>
      <c r="D117" s="2">
        <v>45439</v>
      </c>
      <c r="E117" s="1" t="s">
        <v>41</v>
      </c>
      <c r="F117" s="4">
        <v>4187.93</v>
      </c>
      <c r="G117" s="1" t="s">
        <v>49</v>
      </c>
      <c r="H117" s="1"/>
      <c r="I117" s="1">
        <v>14</v>
      </c>
      <c r="J117" s="1" t="s">
        <v>51</v>
      </c>
      <c r="K117" s="1" t="str">
        <f>_xlfn.TEXTBEFORE(tbl_SaaS_Audit[[#This Row],[region]],"-")</f>
        <v>NA</v>
      </c>
      <c r="L117" s="8" t="str">
        <f>_xlfn.TEXTAFTER(tbl_SaaS_Audit[[#This Row],[region]],"-")</f>
        <v>EAST</v>
      </c>
      <c r="M117" s="8">
        <f t="shared" si="1"/>
        <v>28</v>
      </c>
      <c r="N117" s="4">
        <f>tbl_SaaS_Audit[[#This Row],[Tenure_Months]]*tbl_SaaS_Audit[[#This Row],[Monthly_Revenue]]</f>
        <v>117262.04000000001</v>
      </c>
      <c r="O117" s="3" t="str" cm="1">
        <f t="array" ref="O11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17" s="4" cm="1">
        <f t="array" ref="P117">_xlfn.IFS(tbl_SaaS_Audit[[#This Row],[Risk_Level]]="CRITICAL RISK",tbl_SaaS_Audit[[#This Row],[Monthly_Revenue]]*12,TRUE,0)</f>
        <v>0</v>
      </c>
    </row>
    <row r="118" spans="1:16">
      <c r="A118" s="1">
        <v>117</v>
      </c>
      <c r="B118" s="1" t="s">
        <v>145</v>
      </c>
      <c r="C118" s="1" t="s">
        <v>15</v>
      </c>
      <c r="D118" s="2">
        <v>45740</v>
      </c>
      <c r="E118" s="1" t="s">
        <v>39</v>
      </c>
      <c r="F118" s="4">
        <v>10278.6</v>
      </c>
      <c r="G118" s="1" t="s">
        <v>49</v>
      </c>
      <c r="H118" s="2">
        <v>45888</v>
      </c>
      <c r="I118" s="1">
        <v>0</v>
      </c>
      <c r="J118" s="1" t="s">
        <v>34</v>
      </c>
      <c r="K118" s="1" t="str">
        <f>_xlfn.TEXTBEFORE(tbl_SaaS_Audit[[#This Row],[region]],"-")</f>
        <v>APAC</v>
      </c>
      <c r="L118" s="8" t="str">
        <f>_xlfn.TEXTAFTER(tbl_SaaS_Audit[[#This Row],[region]],"-")</f>
        <v>SGP</v>
      </c>
      <c r="M118" s="8">
        <f t="shared" si="1"/>
        <v>18</v>
      </c>
      <c r="N118" s="4">
        <f>tbl_SaaS_Audit[[#This Row],[Tenure_Months]]*tbl_SaaS_Audit[[#This Row],[Monthly_Revenue]]</f>
        <v>185014.80000000002</v>
      </c>
      <c r="O118" s="3" t="str" cm="1">
        <f t="array" ref="O11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18" s="4" cm="1">
        <f t="array" ref="P118">_xlfn.IFS(tbl_SaaS_Audit[[#This Row],[Risk_Level]]="CRITICAL RISK",tbl_SaaS_Audit[[#This Row],[Monthly_Revenue]]*12,TRUE,0)</f>
        <v>0</v>
      </c>
    </row>
    <row r="119" spans="1:16">
      <c r="A119" s="1">
        <v>118</v>
      </c>
      <c r="B119" s="1" t="s">
        <v>146</v>
      </c>
      <c r="C119" s="1" t="s">
        <v>11</v>
      </c>
      <c r="D119" s="2">
        <v>45784</v>
      </c>
      <c r="E119" s="1" t="s">
        <v>41</v>
      </c>
      <c r="F119" s="4">
        <v>11017.6</v>
      </c>
      <c r="G119" s="1" t="s">
        <v>42</v>
      </c>
      <c r="H119" s="2">
        <v>46086</v>
      </c>
      <c r="I119" s="1">
        <v>16</v>
      </c>
      <c r="J119" s="1" t="s">
        <v>34</v>
      </c>
      <c r="K119" s="1" t="str">
        <f>_xlfn.TEXTBEFORE(tbl_SaaS_Audit[[#This Row],[region]],"-")</f>
        <v>APAC</v>
      </c>
      <c r="L119" s="8" t="str">
        <f>_xlfn.TEXTAFTER(tbl_SaaS_Audit[[#This Row],[region]],"-")</f>
        <v>SGP</v>
      </c>
      <c r="M119" s="8">
        <f t="shared" si="1"/>
        <v>16</v>
      </c>
      <c r="N119" s="4">
        <f>tbl_SaaS_Audit[[#This Row],[Tenure_Months]]*tbl_SaaS_Audit[[#This Row],[Monthly_Revenue]]</f>
        <v>176281.60000000001</v>
      </c>
      <c r="O119" s="3" t="str" cm="1">
        <f t="array" ref="O11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19" s="4" cm="1">
        <f t="array" ref="P119">_xlfn.IFS(tbl_SaaS_Audit[[#This Row],[Risk_Level]]="CRITICAL RISK",tbl_SaaS_Audit[[#This Row],[Monthly_Revenue]]*12,TRUE,0)</f>
        <v>132211.20000000001</v>
      </c>
    </row>
    <row r="120" spans="1:16">
      <c r="A120" s="1">
        <v>119</v>
      </c>
      <c r="B120" s="1" t="s">
        <v>96</v>
      </c>
      <c r="C120" s="1" t="s">
        <v>15</v>
      </c>
      <c r="D120" s="2">
        <v>45651</v>
      </c>
      <c r="E120" s="1" t="s">
        <v>41</v>
      </c>
      <c r="F120" s="4">
        <v>11930.52</v>
      </c>
      <c r="G120" s="1" t="s">
        <v>36</v>
      </c>
      <c r="H120" s="2">
        <v>46248</v>
      </c>
      <c r="I120" s="1">
        <v>6</v>
      </c>
      <c r="J120" s="1" t="s">
        <v>47</v>
      </c>
      <c r="K120" s="1" t="str">
        <f>_xlfn.TEXTBEFORE(tbl_SaaS_Audit[[#This Row],[region]],"-")</f>
        <v>NA</v>
      </c>
      <c r="L120" s="8" t="str">
        <f>_xlfn.TEXTAFTER(tbl_SaaS_Audit[[#This Row],[region]],"-")</f>
        <v>WEST</v>
      </c>
      <c r="M120" s="8">
        <f t="shared" si="1"/>
        <v>21</v>
      </c>
      <c r="N120" s="4">
        <f>tbl_SaaS_Audit[[#This Row],[Tenure_Months]]*tbl_SaaS_Audit[[#This Row],[Monthly_Revenue]]</f>
        <v>250540.92</v>
      </c>
      <c r="O120" s="3" t="str" cm="1">
        <f t="array" ref="O12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20" s="4" cm="1">
        <f t="array" ref="P120">_xlfn.IFS(tbl_SaaS_Audit[[#This Row],[Risk_Level]]="CRITICAL RISK",tbl_SaaS_Audit[[#This Row],[Monthly_Revenue]]*12,TRUE,0)</f>
        <v>0</v>
      </c>
    </row>
    <row r="121" spans="1:16">
      <c r="A121" s="1">
        <v>120</v>
      </c>
      <c r="B121" s="1" t="s">
        <v>147</v>
      </c>
      <c r="C121" s="1" t="s">
        <v>11</v>
      </c>
      <c r="D121" s="2">
        <v>45804</v>
      </c>
      <c r="E121" s="1" t="s">
        <v>39</v>
      </c>
      <c r="F121" s="4">
        <v>6031.5</v>
      </c>
      <c r="G121" s="1" t="s">
        <v>42</v>
      </c>
      <c r="H121" s="2">
        <v>46137</v>
      </c>
      <c r="I121" s="1">
        <v>12</v>
      </c>
      <c r="J121" s="1" t="s">
        <v>47</v>
      </c>
      <c r="K121" s="1" t="str">
        <f>_xlfn.TEXTBEFORE(tbl_SaaS_Audit[[#This Row],[region]],"-")</f>
        <v>NA</v>
      </c>
      <c r="L121" s="8" t="str">
        <f>_xlfn.TEXTAFTER(tbl_SaaS_Audit[[#This Row],[region]],"-")</f>
        <v>WEST</v>
      </c>
      <c r="M121" s="8">
        <f t="shared" si="1"/>
        <v>16</v>
      </c>
      <c r="N121" s="4">
        <f>tbl_SaaS_Audit[[#This Row],[Tenure_Months]]*tbl_SaaS_Audit[[#This Row],[Monthly_Revenue]]</f>
        <v>96504</v>
      </c>
      <c r="O121" s="3" t="str" cm="1">
        <f t="array" ref="O12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21" s="4" cm="1">
        <f t="array" ref="P121">_xlfn.IFS(tbl_SaaS_Audit[[#This Row],[Risk_Level]]="CRITICAL RISK",tbl_SaaS_Audit[[#This Row],[Monthly_Revenue]]*12,TRUE,0)</f>
        <v>72378</v>
      </c>
    </row>
    <row r="122" spans="1:16">
      <c r="A122" s="1">
        <v>121</v>
      </c>
      <c r="B122" s="1" t="s">
        <v>148</v>
      </c>
      <c r="C122" s="1" t="s">
        <v>12</v>
      </c>
      <c r="D122" s="2">
        <v>45611</v>
      </c>
      <c r="E122" s="1" t="s">
        <v>41</v>
      </c>
      <c r="F122" s="4">
        <v>8755.2800000000007</v>
      </c>
      <c r="G122" s="1" t="s">
        <v>49</v>
      </c>
      <c r="H122" s="2">
        <v>45849</v>
      </c>
      <c r="I122" s="1">
        <v>0</v>
      </c>
      <c r="J122" s="1" t="s">
        <v>51</v>
      </c>
      <c r="K122" s="1" t="str">
        <f>_xlfn.TEXTBEFORE(tbl_SaaS_Audit[[#This Row],[region]],"-")</f>
        <v>NA</v>
      </c>
      <c r="L122" s="8" t="str">
        <f>_xlfn.TEXTAFTER(tbl_SaaS_Audit[[#This Row],[region]],"-")</f>
        <v>EAST</v>
      </c>
      <c r="M122" s="8">
        <f t="shared" si="1"/>
        <v>22</v>
      </c>
      <c r="N122" s="4">
        <f>tbl_SaaS_Audit[[#This Row],[Tenure_Months]]*tbl_SaaS_Audit[[#This Row],[Monthly_Revenue]]</f>
        <v>192616.16</v>
      </c>
      <c r="O122" s="3" t="str" cm="1">
        <f t="array" ref="O12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22" s="4" cm="1">
        <f t="array" ref="P122">_xlfn.IFS(tbl_SaaS_Audit[[#This Row],[Risk_Level]]="CRITICAL RISK",tbl_SaaS_Audit[[#This Row],[Monthly_Revenue]]*12,TRUE,0)</f>
        <v>0</v>
      </c>
    </row>
    <row r="123" spans="1:16">
      <c r="A123" s="1">
        <v>122</v>
      </c>
      <c r="B123" s="1" t="s">
        <v>136</v>
      </c>
      <c r="C123" s="1" t="s">
        <v>11</v>
      </c>
      <c r="D123" s="2">
        <v>45614</v>
      </c>
      <c r="E123" s="1" t="s">
        <v>32</v>
      </c>
      <c r="F123" s="4">
        <v>8882.2099999999991</v>
      </c>
      <c r="G123" s="1" t="s">
        <v>49</v>
      </c>
      <c r="H123" s="2">
        <v>46236</v>
      </c>
      <c r="I123" s="1">
        <v>11</v>
      </c>
      <c r="J123" s="1" t="s">
        <v>47</v>
      </c>
      <c r="K123" s="1" t="str">
        <f>_xlfn.TEXTBEFORE(tbl_SaaS_Audit[[#This Row],[region]],"-")</f>
        <v>NA</v>
      </c>
      <c r="L123" s="8" t="str">
        <f>_xlfn.TEXTAFTER(tbl_SaaS_Audit[[#This Row],[region]],"-")</f>
        <v>WEST</v>
      </c>
      <c r="M123" s="8">
        <f t="shared" si="1"/>
        <v>22</v>
      </c>
      <c r="N123" s="4">
        <f>tbl_SaaS_Audit[[#This Row],[Tenure_Months]]*tbl_SaaS_Audit[[#This Row],[Monthly_Revenue]]</f>
        <v>195408.62</v>
      </c>
      <c r="O123" s="3" t="str" cm="1">
        <f t="array" ref="O12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23" s="4" cm="1">
        <f t="array" ref="P123">_xlfn.IFS(tbl_SaaS_Audit[[#This Row],[Risk_Level]]="CRITICAL RISK",tbl_SaaS_Audit[[#This Row],[Monthly_Revenue]]*12,TRUE,0)</f>
        <v>0</v>
      </c>
    </row>
    <row r="124" spans="1:16">
      <c r="A124" s="1">
        <v>123</v>
      </c>
      <c r="B124" s="1" t="s">
        <v>149</v>
      </c>
      <c r="C124" s="1" t="s">
        <v>14</v>
      </c>
      <c r="D124" s="2">
        <v>45305</v>
      </c>
      <c r="E124" s="1" t="s">
        <v>32</v>
      </c>
      <c r="F124" s="4">
        <v>2062.08</v>
      </c>
      <c r="G124" s="1" t="s">
        <v>36</v>
      </c>
      <c r="H124" s="2">
        <v>45947</v>
      </c>
      <c r="I124" s="1">
        <v>0</v>
      </c>
      <c r="J124" s="1" t="s">
        <v>51</v>
      </c>
      <c r="K124" s="1" t="str">
        <f>_xlfn.TEXTBEFORE(tbl_SaaS_Audit[[#This Row],[region]],"-")</f>
        <v>NA</v>
      </c>
      <c r="L124" s="8" t="str">
        <f>_xlfn.TEXTAFTER(tbl_SaaS_Audit[[#This Row],[region]],"-")</f>
        <v>EAST</v>
      </c>
      <c r="M124" s="8">
        <f t="shared" si="1"/>
        <v>32</v>
      </c>
      <c r="N124" s="4">
        <f>tbl_SaaS_Audit[[#This Row],[Tenure_Months]]*tbl_SaaS_Audit[[#This Row],[Monthly_Revenue]]</f>
        <v>65986.559999999998</v>
      </c>
      <c r="O124" s="3" t="str" cm="1">
        <f t="array" ref="O12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24" s="4" cm="1">
        <f t="array" ref="P124">_xlfn.IFS(tbl_SaaS_Audit[[#This Row],[Risk_Level]]="CRITICAL RISK",tbl_SaaS_Audit[[#This Row],[Monthly_Revenue]]*12,TRUE,0)</f>
        <v>0</v>
      </c>
    </row>
    <row r="125" spans="1:16">
      <c r="A125" s="1">
        <v>124</v>
      </c>
      <c r="B125" s="1" t="s">
        <v>150</v>
      </c>
      <c r="C125" s="1" t="s">
        <v>12</v>
      </c>
      <c r="D125" s="2">
        <v>45483</v>
      </c>
      <c r="E125" s="1" t="s">
        <v>39</v>
      </c>
      <c r="F125" s="4">
        <v>3074.67</v>
      </c>
      <c r="G125" s="1" t="s">
        <v>49</v>
      </c>
      <c r="H125" s="2">
        <v>46074</v>
      </c>
      <c r="I125" s="1">
        <v>16</v>
      </c>
      <c r="J125" s="1" t="s">
        <v>45</v>
      </c>
      <c r="K125" s="1" t="str">
        <f>_xlfn.TEXTBEFORE(tbl_SaaS_Audit[[#This Row],[region]],"-")</f>
        <v>EU</v>
      </c>
      <c r="L125" s="8" t="str">
        <f>_xlfn.TEXTAFTER(tbl_SaaS_Audit[[#This Row],[region]],"-")</f>
        <v>CENTRAL</v>
      </c>
      <c r="M125" s="8">
        <f t="shared" si="1"/>
        <v>26</v>
      </c>
      <c r="N125" s="4">
        <f>tbl_SaaS_Audit[[#This Row],[Tenure_Months]]*tbl_SaaS_Audit[[#This Row],[Monthly_Revenue]]</f>
        <v>79941.42</v>
      </c>
      <c r="O125" s="3" t="str" cm="1">
        <f t="array" ref="O12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25" s="4" cm="1">
        <f t="array" ref="P125">_xlfn.IFS(tbl_SaaS_Audit[[#This Row],[Risk_Level]]="CRITICAL RISK",tbl_SaaS_Audit[[#This Row],[Monthly_Revenue]]*12,TRUE,0)</f>
        <v>0</v>
      </c>
    </row>
    <row r="126" spans="1:16">
      <c r="A126" s="1">
        <v>125</v>
      </c>
      <c r="B126" s="1" t="s">
        <v>151</v>
      </c>
      <c r="C126" s="1" t="s">
        <v>14</v>
      </c>
      <c r="D126" s="2">
        <v>45591</v>
      </c>
      <c r="E126" s="1" t="s">
        <v>39</v>
      </c>
      <c r="F126" s="4">
        <v>7068.28</v>
      </c>
      <c r="G126" s="1" t="s">
        <v>42</v>
      </c>
      <c r="H126" s="2">
        <v>46068</v>
      </c>
      <c r="I126" s="1">
        <v>3</v>
      </c>
      <c r="J126" s="1" t="s">
        <v>37</v>
      </c>
      <c r="K126" s="1" t="str">
        <f>_xlfn.TEXTBEFORE(tbl_SaaS_Audit[[#This Row],[region]],"-")</f>
        <v>MEA</v>
      </c>
      <c r="L126" s="8" t="str">
        <f>_xlfn.TEXTAFTER(tbl_SaaS_Audit[[#This Row],[region]],"-")</f>
        <v>EGY</v>
      </c>
      <c r="M126" s="8">
        <f t="shared" si="1"/>
        <v>23</v>
      </c>
      <c r="N126" s="4">
        <f>tbl_SaaS_Audit[[#This Row],[Tenure_Months]]*tbl_SaaS_Audit[[#This Row],[Monthly_Revenue]]</f>
        <v>162570.44</v>
      </c>
      <c r="O126" s="3" t="str" cm="1">
        <f t="array" ref="O12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26" s="4" cm="1">
        <f t="array" ref="P126">_xlfn.IFS(tbl_SaaS_Audit[[#This Row],[Risk_Level]]="CRITICAL RISK",tbl_SaaS_Audit[[#This Row],[Monthly_Revenue]]*12,TRUE,0)</f>
        <v>0</v>
      </c>
    </row>
    <row r="127" spans="1:16">
      <c r="A127" s="1">
        <v>126</v>
      </c>
      <c r="B127" s="1" t="s">
        <v>152</v>
      </c>
      <c r="C127" s="1" t="s">
        <v>13</v>
      </c>
      <c r="D127" s="2">
        <v>45339</v>
      </c>
      <c r="E127" s="1" t="s">
        <v>39</v>
      </c>
      <c r="F127" s="4">
        <v>3217.1</v>
      </c>
      <c r="G127" s="1" t="s">
        <v>36</v>
      </c>
      <c r="H127" s="1"/>
      <c r="I127" s="1">
        <v>4</v>
      </c>
      <c r="J127" s="1" t="s">
        <v>34</v>
      </c>
      <c r="K127" s="1" t="str">
        <f>_xlfn.TEXTBEFORE(tbl_SaaS_Audit[[#This Row],[region]],"-")</f>
        <v>APAC</v>
      </c>
      <c r="L127" s="8" t="str">
        <f>_xlfn.TEXTAFTER(tbl_SaaS_Audit[[#This Row],[region]],"-")</f>
        <v>SGP</v>
      </c>
      <c r="M127" s="8">
        <f t="shared" si="1"/>
        <v>31</v>
      </c>
      <c r="N127" s="4">
        <f>tbl_SaaS_Audit[[#This Row],[Tenure_Months]]*tbl_SaaS_Audit[[#This Row],[Monthly_Revenue]]</f>
        <v>99730.099999999991</v>
      </c>
      <c r="O127" s="3" t="str" cm="1">
        <f t="array" ref="O12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27" s="4" cm="1">
        <f t="array" ref="P127">_xlfn.IFS(tbl_SaaS_Audit[[#This Row],[Risk_Level]]="CRITICAL RISK",tbl_SaaS_Audit[[#This Row],[Monthly_Revenue]]*12,TRUE,0)</f>
        <v>0</v>
      </c>
    </row>
    <row r="128" spans="1:16">
      <c r="A128" s="1">
        <v>127</v>
      </c>
      <c r="B128" s="1" t="s">
        <v>56</v>
      </c>
      <c r="C128" s="1" t="s">
        <v>14</v>
      </c>
      <c r="D128" s="2">
        <v>45644</v>
      </c>
      <c r="E128" s="1" t="s">
        <v>32</v>
      </c>
      <c r="F128" s="4">
        <v>8372.57</v>
      </c>
      <c r="G128" s="1" t="s">
        <v>33</v>
      </c>
      <c r="H128" s="2">
        <v>45984</v>
      </c>
      <c r="I128" s="1">
        <v>12</v>
      </c>
      <c r="J128" s="1" t="s">
        <v>45</v>
      </c>
      <c r="K128" s="1" t="str">
        <f>_xlfn.TEXTBEFORE(tbl_SaaS_Audit[[#This Row],[region]],"-")</f>
        <v>EU</v>
      </c>
      <c r="L128" s="8" t="str">
        <f>_xlfn.TEXTAFTER(tbl_SaaS_Audit[[#This Row],[region]],"-")</f>
        <v>CENTRAL</v>
      </c>
      <c r="M128" s="8">
        <f t="shared" si="1"/>
        <v>11</v>
      </c>
      <c r="N128" s="4">
        <f>tbl_SaaS_Audit[[#This Row],[Tenure_Months]]*tbl_SaaS_Audit[[#This Row],[Monthly_Revenue]]</f>
        <v>92098.26999999999</v>
      </c>
      <c r="O128" s="3" t="str" cm="1">
        <f t="array" ref="O12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28" s="4" cm="1">
        <f t="array" ref="P128">_xlfn.IFS(tbl_SaaS_Audit[[#This Row],[Risk_Level]]="CRITICAL RISK",tbl_SaaS_Audit[[#This Row],[Monthly_Revenue]]*12,TRUE,0)</f>
        <v>0</v>
      </c>
    </row>
    <row r="129" spans="1:16">
      <c r="A129" s="1">
        <v>128</v>
      </c>
      <c r="B129" s="1" t="s">
        <v>153</v>
      </c>
      <c r="C129" s="1" t="s">
        <v>15</v>
      </c>
      <c r="D129" s="2">
        <v>45304</v>
      </c>
      <c r="E129" s="1" t="s">
        <v>41</v>
      </c>
      <c r="F129" s="4">
        <v>850.03</v>
      </c>
      <c r="G129" s="1" t="s">
        <v>42</v>
      </c>
      <c r="H129" s="2">
        <v>45968</v>
      </c>
      <c r="I129" s="1">
        <v>1</v>
      </c>
      <c r="J129" s="1" t="s">
        <v>37</v>
      </c>
      <c r="K129" s="1" t="str">
        <f>_xlfn.TEXTBEFORE(tbl_SaaS_Audit[[#This Row],[region]],"-")</f>
        <v>MEA</v>
      </c>
      <c r="L129" s="8" t="str">
        <f>_xlfn.TEXTAFTER(tbl_SaaS_Audit[[#This Row],[region]],"-")</f>
        <v>EGY</v>
      </c>
      <c r="M129" s="8">
        <f t="shared" si="1"/>
        <v>32</v>
      </c>
      <c r="N129" s="4">
        <f>tbl_SaaS_Audit[[#This Row],[Tenure_Months]]*tbl_SaaS_Audit[[#This Row],[Monthly_Revenue]]</f>
        <v>27200.959999999999</v>
      </c>
      <c r="O129" s="3" t="str" cm="1">
        <f t="array" ref="O12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29" s="4" cm="1">
        <f t="array" ref="P129">_xlfn.IFS(tbl_SaaS_Audit[[#This Row],[Risk_Level]]="CRITICAL RISK",tbl_SaaS_Audit[[#This Row],[Monthly_Revenue]]*12,TRUE,0)</f>
        <v>0</v>
      </c>
    </row>
    <row r="130" spans="1:16">
      <c r="A130" s="1">
        <v>129</v>
      </c>
      <c r="B130" s="1" t="s">
        <v>152</v>
      </c>
      <c r="C130" s="1" t="s">
        <v>14</v>
      </c>
      <c r="D130" s="2">
        <v>45661</v>
      </c>
      <c r="E130" s="1" t="s">
        <v>39</v>
      </c>
      <c r="F130" s="4">
        <v>9641.2800000000007</v>
      </c>
      <c r="G130" s="1" t="s">
        <v>49</v>
      </c>
      <c r="H130" s="2">
        <v>46025</v>
      </c>
      <c r="I130" s="1">
        <v>10</v>
      </c>
      <c r="J130" s="1" t="s">
        <v>45</v>
      </c>
      <c r="K130" s="1" t="str">
        <f>_xlfn.TEXTBEFORE(tbl_SaaS_Audit[[#This Row],[region]],"-")</f>
        <v>EU</v>
      </c>
      <c r="L130" s="8" t="str">
        <f>_xlfn.TEXTAFTER(tbl_SaaS_Audit[[#This Row],[region]],"-")</f>
        <v>CENTRAL</v>
      </c>
      <c r="M130" s="8">
        <f t="shared" ref="M130:M193" si="2">MAX(0, IF(AND(G130="Churned", ISNUMBER(H130)), (YEAR(H130)-YEAR(D130))*12 + (MONTH(H130)-MONTH(D130)), (YEAR(DATE(2026,9,1))-YEAR(D130))*12 + (MONTH(DATE(2026,9,1))-MONTH(D130))))</f>
        <v>20</v>
      </c>
      <c r="N130" s="4">
        <f>tbl_SaaS_Audit[[#This Row],[Tenure_Months]]*tbl_SaaS_Audit[[#This Row],[Monthly_Revenue]]</f>
        <v>192825.60000000001</v>
      </c>
      <c r="O130" s="3" t="str" cm="1">
        <f t="array" ref="O13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0" s="4" cm="1">
        <f t="array" ref="P130">_xlfn.IFS(tbl_SaaS_Audit[[#This Row],[Risk_Level]]="CRITICAL RISK",tbl_SaaS_Audit[[#This Row],[Monthly_Revenue]]*12,TRUE,0)</f>
        <v>0</v>
      </c>
    </row>
    <row r="131" spans="1:16">
      <c r="A131" s="1">
        <v>130</v>
      </c>
      <c r="B131" s="1" t="s">
        <v>154</v>
      </c>
      <c r="C131" s="1" t="s">
        <v>11</v>
      </c>
      <c r="D131" s="2">
        <v>45338</v>
      </c>
      <c r="E131" s="1" t="s">
        <v>41</v>
      </c>
      <c r="F131" s="4">
        <v>11053.96</v>
      </c>
      <c r="G131" s="1" t="s">
        <v>36</v>
      </c>
      <c r="H131" s="2">
        <v>45966</v>
      </c>
      <c r="I131" s="1">
        <v>1</v>
      </c>
      <c r="J131" s="1" t="s">
        <v>45</v>
      </c>
      <c r="K131" s="1" t="str">
        <f>_xlfn.TEXTBEFORE(tbl_SaaS_Audit[[#This Row],[region]],"-")</f>
        <v>EU</v>
      </c>
      <c r="L131" s="8" t="str">
        <f>_xlfn.TEXTAFTER(tbl_SaaS_Audit[[#This Row],[region]],"-")</f>
        <v>CENTRAL</v>
      </c>
      <c r="M131" s="8">
        <f t="shared" si="2"/>
        <v>31</v>
      </c>
      <c r="N131" s="4">
        <f>tbl_SaaS_Audit[[#This Row],[Tenure_Months]]*tbl_SaaS_Audit[[#This Row],[Monthly_Revenue]]</f>
        <v>342672.75999999995</v>
      </c>
      <c r="O131" s="3" t="str" cm="1">
        <f t="array" ref="O13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31" s="4" cm="1">
        <f t="array" ref="P131">_xlfn.IFS(tbl_SaaS_Audit[[#This Row],[Risk_Level]]="CRITICAL RISK",tbl_SaaS_Audit[[#This Row],[Monthly_Revenue]]*12,TRUE,0)</f>
        <v>0</v>
      </c>
    </row>
    <row r="132" spans="1:16">
      <c r="A132" s="1">
        <v>131</v>
      </c>
      <c r="B132" s="1" t="s">
        <v>155</v>
      </c>
      <c r="C132" s="1" t="s">
        <v>12</v>
      </c>
      <c r="D132" s="2">
        <v>45823</v>
      </c>
      <c r="E132" s="1" t="s">
        <v>41</v>
      </c>
      <c r="F132" s="4">
        <v>7543.21</v>
      </c>
      <c r="G132" s="1" t="s">
        <v>33</v>
      </c>
      <c r="H132" s="2">
        <v>45876</v>
      </c>
      <c r="I132" s="1">
        <v>18</v>
      </c>
      <c r="J132" s="1" t="s">
        <v>47</v>
      </c>
      <c r="K132" s="1" t="str">
        <f>_xlfn.TEXTBEFORE(tbl_SaaS_Audit[[#This Row],[region]],"-")</f>
        <v>NA</v>
      </c>
      <c r="L132" s="8" t="str">
        <f>_xlfn.TEXTAFTER(tbl_SaaS_Audit[[#This Row],[region]],"-")</f>
        <v>WEST</v>
      </c>
      <c r="M132" s="8">
        <f t="shared" si="2"/>
        <v>2</v>
      </c>
      <c r="N132" s="4">
        <f>tbl_SaaS_Audit[[#This Row],[Tenure_Months]]*tbl_SaaS_Audit[[#This Row],[Monthly_Revenue]]</f>
        <v>15086.42</v>
      </c>
      <c r="O132" s="3" t="str" cm="1">
        <f t="array" ref="O13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32" s="4" cm="1">
        <f t="array" ref="P132">_xlfn.IFS(tbl_SaaS_Audit[[#This Row],[Risk_Level]]="CRITICAL RISK",tbl_SaaS_Audit[[#This Row],[Monthly_Revenue]]*12,TRUE,0)</f>
        <v>0</v>
      </c>
    </row>
    <row r="133" spans="1:16">
      <c r="A133" s="1">
        <v>132</v>
      </c>
      <c r="B133" s="1" t="s">
        <v>156</v>
      </c>
      <c r="C133" s="1" t="s">
        <v>12</v>
      </c>
      <c r="D133" s="2">
        <v>45621</v>
      </c>
      <c r="E133" s="1" t="s">
        <v>32</v>
      </c>
      <c r="F133" s="4">
        <v>7715.04</v>
      </c>
      <c r="G133" s="1" t="s">
        <v>36</v>
      </c>
      <c r="H133" s="2">
        <v>46145</v>
      </c>
      <c r="I133" s="1">
        <v>6</v>
      </c>
      <c r="J133" s="1" t="s">
        <v>34</v>
      </c>
      <c r="K133" s="1" t="str">
        <f>_xlfn.TEXTBEFORE(tbl_SaaS_Audit[[#This Row],[region]],"-")</f>
        <v>APAC</v>
      </c>
      <c r="L133" s="8" t="str">
        <f>_xlfn.TEXTAFTER(tbl_SaaS_Audit[[#This Row],[region]],"-")</f>
        <v>SGP</v>
      </c>
      <c r="M133" s="8">
        <f t="shared" si="2"/>
        <v>22</v>
      </c>
      <c r="N133" s="4">
        <f>tbl_SaaS_Audit[[#This Row],[Tenure_Months]]*tbl_SaaS_Audit[[#This Row],[Monthly_Revenue]]</f>
        <v>169730.88</v>
      </c>
      <c r="O133" s="3" t="str" cm="1">
        <f t="array" ref="O13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3" s="4" cm="1">
        <f t="array" ref="P133">_xlfn.IFS(tbl_SaaS_Audit[[#This Row],[Risk_Level]]="CRITICAL RISK",tbl_SaaS_Audit[[#This Row],[Monthly_Revenue]]*12,TRUE,0)</f>
        <v>0</v>
      </c>
    </row>
    <row r="134" spans="1:16">
      <c r="A134" s="1">
        <v>133</v>
      </c>
      <c r="B134" s="1" t="s">
        <v>157</v>
      </c>
      <c r="C134" s="1" t="s">
        <v>11</v>
      </c>
      <c r="D134" s="2">
        <v>45331</v>
      </c>
      <c r="E134" s="1" t="s">
        <v>41</v>
      </c>
      <c r="F134" s="4">
        <v>8297.2999999999993</v>
      </c>
      <c r="G134" s="1" t="s">
        <v>49</v>
      </c>
      <c r="H134" s="2">
        <v>45848</v>
      </c>
      <c r="I134" s="1">
        <v>11</v>
      </c>
      <c r="J134" s="1" t="s">
        <v>34</v>
      </c>
      <c r="K134" s="1" t="str">
        <f>_xlfn.TEXTBEFORE(tbl_SaaS_Audit[[#This Row],[region]],"-")</f>
        <v>APAC</v>
      </c>
      <c r="L134" s="8" t="str">
        <f>_xlfn.TEXTAFTER(tbl_SaaS_Audit[[#This Row],[region]],"-")</f>
        <v>SGP</v>
      </c>
      <c r="M134" s="8">
        <f t="shared" si="2"/>
        <v>31</v>
      </c>
      <c r="N134" s="4">
        <f>tbl_SaaS_Audit[[#This Row],[Tenure_Months]]*tbl_SaaS_Audit[[#This Row],[Monthly_Revenue]]</f>
        <v>257216.3</v>
      </c>
      <c r="O134" s="3" t="str" cm="1">
        <f t="array" ref="O13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4" s="4" cm="1">
        <f t="array" ref="P134">_xlfn.IFS(tbl_SaaS_Audit[[#This Row],[Risk_Level]]="CRITICAL RISK",tbl_SaaS_Audit[[#This Row],[Monthly_Revenue]]*12,TRUE,0)</f>
        <v>0</v>
      </c>
    </row>
    <row r="135" spans="1:16">
      <c r="A135" s="1">
        <v>134</v>
      </c>
      <c r="B135" s="1" t="s">
        <v>158</v>
      </c>
      <c r="C135" s="1" t="s">
        <v>11</v>
      </c>
      <c r="D135" s="2">
        <v>45569</v>
      </c>
      <c r="E135" s="1" t="s">
        <v>32</v>
      </c>
      <c r="F135" s="4">
        <v>10980.63</v>
      </c>
      <c r="G135" s="1" t="s">
        <v>49</v>
      </c>
      <c r="H135" s="2">
        <v>45992</v>
      </c>
      <c r="I135" s="1">
        <v>7</v>
      </c>
      <c r="J135" s="1" t="s">
        <v>45</v>
      </c>
      <c r="K135" s="1" t="str">
        <f>_xlfn.TEXTBEFORE(tbl_SaaS_Audit[[#This Row],[region]],"-")</f>
        <v>EU</v>
      </c>
      <c r="L135" s="8" t="str">
        <f>_xlfn.TEXTAFTER(tbl_SaaS_Audit[[#This Row],[region]],"-")</f>
        <v>CENTRAL</v>
      </c>
      <c r="M135" s="8">
        <f t="shared" si="2"/>
        <v>23</v>
      </c>
      <c r="N135" s="4">
        <f>tbl_SaaS_Audit[[#This Row],[Tenure_Months]]*tbl_SaaS_Audit[[#This Row],[Monthly_Revenue]]</f>
        <v>252554.49</v>
      </c>
      <c r="O135" s="3" t="str" cm="1">
        <f t="array" ref="O13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5" s="4" cm="1">
        <f t="array" ref="P135">_xlfn.IFS(tbl_SaaS_Audit[[#This Row],[Risk_Level]]="CRITICAL RISK",tbl_SaaS_Audit[[#This Row],[Monthly_Revenue]]*12,TRUE,0)</f>
        <v>0</v>
      </c>
    </row>
    <row r="136" spans="1:16">
      <c r="A136" s="1">
        <v>135</v>
      </c>
      <c r="B136" s="1" t="s">
        <v>159</v>
      </c>
      <c r="C136" s="1" t="s">
        <v>12</v>
      </c>
      <c r="D136" s="2">
        <v>45357</v>
      </c>
      <c r="E136" s="1" t="s">
        <v>32</v>
      </c>
      <c r="F136" s="4">
        <v>6316.33</v>
      </c>
      <c r="G136" s="1" t="s">
        <v>49</v>
      </c>
      <c r="H136" s="1"/>
      <c r="I136" s="1">
        <v>17</v>
      </c>
      <c r="J136" s="1" t="s">
        <v>45</v>
      </c>
      <c r="K136" s="1" t="str">
        <f>_xlfn.TEXTBEFORE(tbl_SaaS_Audit[[#This Row],[region]],"-")</f>
        <v>EU</v>
      </c>
      <c r="L136" s="8" t="str">
        <f>_xlfn.TEXTAFTER(tbl_SaaS_Audit[[#This Row],[region]],"-")</f>
        <v>CENTRAL</v>
      </c>
      <c r="M136" s="8">
        <f t="shared" si="2"/>
        <v>30</v>
      </c>
      <c r="N136" s="4">
        <f>tbl_SaaS_Audit[[#This Row],[Tenure_Months]]*tbl_SaaS_Audit[[#This Row],[Monthly_Revenue]]</f>
        <v>189489.9</v>
      </c>
      <c r="O136" s="3" t="str" cm="1">
        <f t="array" ref="O13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6" s="4" cm="1">
        <f t="array" ref="P136">_xlfn.IFS(tbl_SaaS_Audit[[#This Row],[Risk_Level]]="CRITICAL RISK",tbl_SaaS_Audit[[#This Row],[Monthly_Revenue]]*12,TRUE,0)</f>
        <v>0</v>
      </c>
    </row>
    <row r="137" spans="1:16">
      <c r="A137" s="1">
        <v>136</v>
      </c>
      <c r="B137" s="1" t="s">
        <v>160</v>
      </c>
      <c r="C137" s="1" t="s">
        <v>15</v>
      </c>
      <c r="D137" s="2">
        <v>45609</v>
      </c>
      <c r="E137" s="1" t="s">
        <v>41</v>
      </c>
      <c r="F137" s="4">
        <v>12846.16</v>
      </c>
      <c r="G137" s="1" t="s">
        <v>42</v>
      </c>
      <c r="H137" s="2">
        <v>46249</v>
      </c>
      <c r="I137" s="1">
        <v>5</v>
      </c>
      <c r="J137" s="1" t="s">
        <v>47</v>
      </c>
      <c r="K137" s="1" t="str">
        <f>_xlfn.TEXTBEFORE(tbl_SaaS_Audit[[#This Row],[region]],"-")</f>
        <v>NA</v>
      </c>
      <c r="L137" s="8" t="str">
        <f>_xlfn.TEXTAFTER(tbl_SaaS_Audit[[#This Row],[region]],"-")</f>
        <v>WEST</v>
      </c>
      <c r="M137" s="8">
        <f t="shared" si="2"/>
        <v>22</v>
      </c>
      <c r="N137" s="4">
        <f>tbl_SaaS_Audit[[#This Row],[Tenure_Months]]*tbl_SaaS_Audit[[#This Row],[Monthly_Revenue]]</f>
        <v>282615.52</v>
      </c>
      <c r="O137" s="3" t="str" cm="1">
        <f t="array" ref="O13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7" s="4" cm="1">
        <f t="array" ref="P137">_xlfn.IFS(tbl_SaaS_Audit[[#This Row],[Risk_Level]]="CRITICAL RISK",tbl_SaaS_Audit[[#This Row],[Monthly_Revenue]]*12,TRUE,0)</f>
        <v>0</v>
      </c>
    </row>
    <row r="138" spans="1:16">
      <c r="A138" s="1">
        <v>137</v>
      </c>
      <c r="B138" s="1" t="s">
        <v>122</v>
      </c>
      <c r="C138" s="1" t="s">
        <v>12</v>
      </c>
      <c r="D138" s="2">
        <v>45390</v>
      </c>
      <c r="E138" s="1" t="s">
        <v>39</v>
      </c>
      <c r="F138" s="4">
        <v>10330.85</v>
      </c>
      <c r="G138" s="1" t="s">
        <v>33</v>
      </c>
      <c r="H138" s="1"/>
      <c r="I138" s="1">
        <v>8</v>
      </c>
      <c r="J138" s="1" t="s">
        <v>45</v>
      </c>
      <c r="K138" s="1" t="str">
        <f>_xlfn.TEXTBEFORE(tbl_SaaS_Audit[[#This Row],[region]],"-")</f>
        <v>EU</v>
      </c>
      <c r="L138" s="8" t="str">
        <f>_xlfn.TEXTAFTER(tbl_SaaS_Audit[[#This Row],[region]],"-")</f>
        <v>CENTRAL</v>
      </c>
      <c r="M138" s="8">
        <f t="shared" si="2"/>
        <v>29</v>
      </c>
      <c r="N138" s="4">
        <f>tbl_SaaS_Audit[[#This Row],[Tenure_Months]]*tbl_SaaS_Audit[[#This Row],[Monthly_Revenue]]</f>
        <v>299594.65000000002</v>
      </c>
      <c r="O138" s="3" t="str" cm="1">
        <f t="array" ref="O13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38" s="4" cm="1">
        <f t="array" ref="P138">_xlfn.IFS(tbl_SaaS_Audit[[#This Row],[Risk_Level]]="CRITICAL RISK",tbl_SaaS_Audit[[#This Row],[Monthly_Revenue]]*12,TRUE,0)</f>
        <v>0</v>
      </c>
    </row>
    <row r="139" spans="1:16">
      <c r="A139" s="1">
        <v>138</v>
      </c>
      <c r="B139" s="1" t="s">
        <v>161</v>
      </c>
      <c r="C139" s="1" t="s">
        <v>12</v>
      </c>
      <c r="D139" s="2">
        <v>45501</v>
      </c>
      <c r="E139" s="1" t="s">
        <v>32</v>
      </c>
      <c r="F139" s="4">
        <v>9625.19</v>
      </c>
      <c r="G139" s="1" t="s">
        <v>33</v>
      </c>
      <c r="H139" s="1"/>
      <c r="I139" s="1">
        <v>4</v>
      </c>
      <c r="J139" s="1" t="s">
        <v>51</v>
      </c>
      <c r="K139" s="1" t="str">
        <f>_xlfn.TEXTBEFORE(tbl_SaaS_Audit[[#This Row],[region]],"-")</f>
        <v>NA</v>
      </c>
      <c r="L139" s="8" t="str">
        <f>_xlfn.TEXTAFTER(tbl_SaaS_Audit[[#This Row],[region]],"-")</f>
        <v>EAST</v>
      </c>
      <c r="M139" s="8">
        <f t="shared" si="2"/>
        <v>26</v>
      </c>
      <c r="N139" s="4">
        <f>tbl_SaaS_Audit[[#This Row],[Tenure_Months]]*tbl_SaaS_Audit[[#This Row],[Monthly_Revenue]]</f>
        <v>250254.94</v>
      </c>
      <c r="O139" s="3" t="str" cm="1">
        <f t="array" ref="O13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39" s="4" cm="1">
        <f t="array" ref="P139">_xlfn.IFS(tbl_SaaS_Audit[[#This Row],[Risk_Level]]="CRITICAL RISK",tbl_SaaS_Audit[[#This Row],[Monthly_Revenue]]*12,TRUE,0)</f>
        <v>0</v>
      </c>
    </row>
    <row r="140" spans="1:16">
      <c r="A140" s="1">
        <v>139</v>
      </c>
      <c r="B140" s="1" t="s">
        <v>35</v>
      </c>
      <c r="C140" s="1" t="s">
        <v>12</v>
      </c>
      <c r="D140" s="2">
        <v>45624</v>
      </c>
      <c r="E140" s="1" t="s">
        <v>39</v>
      </c>
      <c r="F140" s="4">
        <v>10967</v>
      </c>
      <c r="G140" s="1" t="s">
        <v>42</v>
      </c>
      <c r="H140" s="1"/>
      <c r="I140" s="1">
        <v>1</v>
      </c>
      <c r="J140" s="1" t="s">
        <v>34</v>
      </c>
      <c r="K140" s="1" t="str">
        <f>_xlfn.TEXTBEFORE(tbl_SaaS_Audit[[#This Row],[region]],"-")</f>
        <v>APAC</v>
      </c>
      <c r="L140" s="8" t="str">
        <f>_xlfn.TEXTAFTER(tbl_SaaS_Audit[[#This Row],[region]],"-")</f>
        <v>SGP</v>
      </c>
      <c r="M140" s="8">
        <f t="shared" si="2"/>
        <v>22</v>
      </c>
      <c r="N140" s="4">
        <f>tbl_SaaS_Audit[[#This Row],[Tenure_Months]]*tbl_SaaS_Audit[[#This Row],[Monthly_Revenue]]</f>
        <v>241274</v>
      </c>
      <c r="O140" s="3" t="str" cm="1">
        <f t="array" ref="O14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40" s="4" cm="1">
        <f t="array" ref="P140">_xlfn.IFS(tbl_SaaS_Audit[[#This Row],[Risk_Level]]="CRITICAL RISK",tbl_SaaS_Audit[[#This Row],[Monthly_Revenue]]*12,TRUE,0)</f>
        <v>0</v>
      </c>
    </row>
    <row r="141" spans="1:16">
      <c r="A141" s="1">
        <v>140</v>
      </c>
      <c r="B141" s="1" t="s">
        <v>162</v>
      </c>
      <c r="C141" s="1" t="s">
        <v>11</v>
      </c>
      <c r="D141" s="2">
        <v>45772</v>
      </c>
      <c r="E141" s="1" t="s">
        <v>41</v>
      </c>
      <c r="F141" s="4">
        <v>6987.91</v>
      </c>
      <c r="G141" s="1" t="s">
        <v>33</v>
      </c>
      <c r="H141" s="2">
        <v>46162</v>
      </c>
      <c r="I141" s="1">
        <v>8</v>
      </c>
      <c r="J141" s="1" t="s">
        <v>47</v>
      </c>
      <c r="K141" s="1" t="str">
        <f>_xlfn.TEXTBEFORE(tbl_SaaS_Audit[[#This Row],[region]],"-")</f>
        <v>NA</v>
      </c>
      <c r="L141" s="8" t="str">
        <f>_xlfn.TEXTAFTER(tbl_SaaS_Audit[[#This Row],[region]],"-")</f>
        <v>WEST</v>
      </c>
      <c r="M141" s="8">
        <f t="shared" si="2"/>
        <v>13</v>
      </c>
      <c r="N141" s="4">
        <f>tbl_SaaS_Audit[[#This Row],[Tenure_Months]]*tbl_SaaS_Audit[[#This Row],[Monthly_Revenue]]</f>
        <v>90842.83</v>
      </c>
      <c r="O141" s="3" t="str" cm="1">
        <f t="array" ref="O14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41" s="4" cm="1">
        <f t="array" ref="P141">_xlfn.IFS(tbl_SaaS_Audit[[#This Row],[Risk_Level]]="CRITICAL RISK",tbl_SaaS_Audit[[#This Row],[Monthly_Revenue]]*12,TRUE,0)</f>
        <v>0</v>
      </c>
    </row>
    <row r="142" spans="1:16">
      <c r="A142" s="1">
        <v>141</v>
      </c>
      <c r="B142" s="1" t="s">
        <v>31</v>
      </c>
      <c r="C142" s="1" t="s">
        <v>13</v>
      </c>
      <c r="D142" s="2">
        <v>45753</v>
      </c>
      <c r="E142" s="1" t="s">
        <v>32</v>
      </c>
      <c r="F142" s="4">
        <v>14161.26</v>
      </c>
      <c r="G142" s="1" t="s">
        <v>36</v>
      </c>
      <c r="H142" s="2">
        <v>46235</v>
      </c>
      <c r="I142" s="1">
        <v>15</v>
      </c>
      <c r="J142" s="1" t="s">
        <v>51</v>
      </c>
      <c r="K142" s="1" t="str">
        <f>_xlfn.TEXTBEFORE(tbl_SaaS_Audit[[#This Row],[region]],"-")</f>
        <v>NA</v>
      </c>
      <c r="L142" s="8" t="str">
        <f>_xlfn.TEXTAFTER(tbl_SaaS_Audit[[#This Row],[region]],"-")</f>
        <v>EAST</v>
      </c>
      <c r="M142" s="8">
        <f t="shared" si="2"/>
        <v>17</v>
      </c>
      <c r="N142" s="4">
        <f>tbl_SaaS_Audit[[#This Row],[Tenure_Months]]*tbl_SaaS_Audit[[#This Row],[Monthly_Revenue]]</f>
        <v>240741.42</v>
      </c>
      <c r="O142" s="3" t="str" cm="1">
        <f t="array" ref="O14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42" s="4" cm="1">
        <f t="array" ref="P142">_xlfn.IFS(tbl_SaaS_Audit[[#This Row],[Risk_Level]]="CRITICAL RISK",tbl_SaaS_Audit[[#This Row],[Monthly_Revenue]]*12,TRUE,0)</f>
        <v>0</v>
      </c>
    </row>
    <row r="143" spans="1:16">
      <c r="A143" s="1">
        <v>142</v>
      </c>
      <c r="B143" s="1" t="s">
        <v>125</v>
      </c>
      <c r="C143" s="1" t="s">
        <v>14</v>
      </c>
      <c r="D143" s="2">
        <v>45786</v>
      </c>
      <c r="E143" s="1" t="s">
        <v>39</v>
      </c>
      <c r="F143" s="4">
        <v>10531.16</v>
      </c>
      <c r="G143" s="1" t="s">
        <v>42</v>
      </c>
      <c r="H143" s="2">
        <v>46049</v>
      </c>
      <c r="I143" s="1">
        <v>1</v>
      </c>
      <c r="J143" s="1" t="s">
        <v>47</v>
      </c>
      <c r="K143" s="1" t="str">
        <f>_xlfn.TEXTBEFORE(tbl_SaaS_Audit[[#This Row],[region]],"-")</f>
        <v>NA</v>
      </c>
      <c r="L143" s="8" t="str">
        <f>_xlfn.TEXTAFTER(tbl_SaaS_Audit[[#This Row],[region]],"-")</f>
        <v>WEST</v>
      </c>
      <c r="M143" s="8">
        <f t="shared" si="2"/>
        <v>16</v>
      </c>
      <c r="N143" s="4">
        <f>tbl_SaaS_Audit[[#This Row],[Tenure_Months]]*tbl_SaaS_Audit[[#This Row],[Monthly_Revenue]]</f>
        <v>168498.56</v>
      </c>
      <c r="O143" s="3" t="str" cm="1">
        <f t="array" ref="O14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43" s="4" cm="1">
        <f t="array" ref="P143">_xlfn.IFS(tbl_SaaS_Audit[[#This Row],[Risk_Level]]="CRITICAL RISK",tbl_SaaS_Audit[[#This Row],[Monthly_Revenue]]*12,TRUE,0)</f>
        <v>0</v>
      </c>
    </row>
    <row r="144" spans="1:16">
      <c r="A144" s="1">
        <v>143</v>
      </c>
      <c r="B144" s="1" t="s">
        <v>163</v>
      </c>
      <c r="C144" s="1" t="s">
        <v>15</v>
      </c>
      <c r="D144" s="2">
        <v>45586</v>
      </c>
      <c r="E144" s="1" t="s">
        <v>32</v>
      </c>
      <c r="F144" s="4">
        <v>13305.61</v>
      </c>
      <c r="G144" s="1" t="s">
        <v>49</v>
      </c>
      <c r="H144" s="1"/>
      <c r="I144" s="1">
        <v>17</v>
      </c>
      <c r="J144" s="1" t="s">
        <v>37</v>
      </c>
      <c r="K144" s="1" t="str">
        <f>_xlfn.TEXTBEFORE(tbl_SaaS_Audit[[#This Row],[region]],"-")</f>
        <v>MEA</v>
      </c>
      <c r="L144" s="8" t="str">
        <f>_xlfn.TEXTAFTER(tbl_SaaS_Audit[[#This Row],[region]],"-")</f>
        <v>EGY</v>
      </c>
      <c r="M144" s="8">
        <f t="shared" si="2"/>
        <v>23</v>
      </c>
      <c r="N144" s="4">
        <f>tbl_SaaS_Audit[[#This Row],[Tenure_Months]]*tbl_SaaS_Audit[[#This Row],[Monthly_Revenue]]</f>
        <v>306029.03000000003</v>
      </c>
      <c r="O144" s="3" t="str" cm="1">
        <f t="array" ref="O14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44" s="4" cm="1">
        <f t="array" ref="P144">_xlfn.IFS(tbl_SaaS_Audit[[#This Row],[Risk_Level]]="CRITICAL RISK",tbl_SaaS_Audit[[#This Row],[Monthly_Revenue]]*12,TRUE,0)</f>
        <v>0</v>
      </c>
    </row>
    <row r="145" spans="1:16">
      <c r="A145" s="1">
        <v>144</v>
      </c>
      <c r="B145" s="1" t="s">
        <v>164</v>
      </c>
      <c r="C145" s="1" t="s">
        <v>11</v>
      </c>
      <c r="D145" s="2">
        <v>45599</v>
      </c>
      <c r="E145" s="1" t="s">
        <v>32</v>
      </c>
      <c r="F145" s="4">
        <v>13018.34</v>
      </c>
      <c r="G145" s="1" t="s">
        <v>36</v>
      </c>
      <c r="H145" s="2">
        <v>46016</v>
      </c>
      <c r="I145" s="1">
        <v>13</v>
      </c>
      <c r="J145" s="1" t="s">
        <v>51</v>
      </c>
      <c r="K145" s="1" t="str">
        <f>_xlfn.TEXTBEFORE(tbl_SaaS_Audit[[#This Row],[region]],"-")</f>
        <v>NA</v>
      </c>
      <c r="L145" s="8" t="str">
        <f>_xlfn.TEXTAFTER(tbl_SaaS_Audit[[#This Row],[region]],"-")</f>
        <v>EAST</v>
      </c>
      <c r="M145" s="8">
        <f t="shared" si="2"/>
        <v>22</v>
      </c>
      <c r="N145" s="4">
        <f>tbl_SaaS_Audit[[#This Row],[Tenure_Months]]*tbl_SaaS_Audit[[#This Row],[Monthly_Revenue]]</f>
        <v>286403.48</v>
      </c>
      <c r="O145" s="3" t="str" cm="1">
        <f t="array" ref="O14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45" s="4" cm="1">
        <f t="array" ref="P145">_xlfn.IFS(tbl_SaaS_Audit[[#This Row],[Risk_Level]]="CRITICAL RISK",tbl_SaaS_Audit[[#This Row],[Monthly_Revenue]]*12,TRUE,0)</f>
        <v>0</v>
      </c>
    </row>
    <row r="146" spans="1:16">
      <c r="A146" s="1">
        <v>145</v>
      </c>
      <c r="B146" s="1" t="s">
        <v>165</v>
      </c>
      <c r="C146" s="1" t="s">
        <v>14</v>
      </c>
      <c r="D146" s="2">
        <v>45603</v>
      </c>
      <c r="E146" s="1" t="s">
        <v>39</v>
      </c>
      <c r="F146" s="4">
        <v>7822.74</v>
      </c>
      <c r="G146" s="1" t="s">
        <v>36</v>
      </c>
      <c r="H146" s="1"/>
      <c r="I146" s="1">
        <v>9</v>
      </c>
      <c r="J146" s="1" t="s">
        <v>45</v>
      </c>
      <c r="K146" s="1" t="str">
        <f>_xlfn.TEXTBEFORE(tbl_SaaS_Audit[[#This Row],[region]],"-")</f>
        <v>EU</v>
      </c>
      <c r="L146" s="8" t="str">
        <f>_xlfn.TEXTAFTER(tbl_SaaS_Audit[[#This Row],[region]],"-")</f>
        <v>CENTRAL</v>
      </c>
      <c r="M146" s="8">
        <f t="shared" si="2"/>
        <v>22</v>
      </c>
      <c r="N146" s="4">
        <f>tbl_SaaS_Audit[[#This Row],[Tenure_Months]]*tbl_SaaS_Audit[[#This Row],[Monthly_Revenue]]</f>
        <v>172100.28</v>
      </c>
      <c r="O146" s="3" t="str" cm="1">
        <f t="array" ref="O14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46" s="4" cm="1">
        <f t="array" ref="P146">_xlfn.IFS(tbl_SaaS_Audit[[#This Row],[Risk_Level]]="CRITICAL RISK",tbl_SaaS_Audit[[#This Row],[Monthly_Revenue]]*12,TRUE,0)</f>
        <v>0</v>
      </c>
    </row>
    <row r="147" spans="1:16">
      <c r="A147" s="1">
        <v>146</v>
      </c>
      <c r="B147" s="1" t="s">
        <v>166</v>
      </c>
      <c r="C147" s="1" t="s">
        <v>11</v>
      </c>
      <c r="D147" s="2">
        <v>45817</v>
      </c>
      <c r="E147" s="1" t="s">
        <v>39</v>
      </c>
      <c r="F147" s="4">
        <v>8502.6200000000008</v>
      </c>
      <c r="G147" s="1" t="s">
        <v>33</v>
      </c>
      <c r="H147" s="2">
        <v>46199</v>
      </c>
      <c r="I147" s="1">
        <v>8</v>
      </c>
      <c r="J147" s="1" t="s">
        <v>34</v>
      </c>
      <c r="K147" s="1" t="str">
        <f>_xlfn.TEXTBEFORE(tbl_SaaS_Audit[[#This Row],[region]],"-")</f>
        <v>APAC</v>
      </c>
      <c r="L147" s="8" t="str">
        <f>_xlfn.TEXTAFTER(tbl_SaaS_Audit[[#This Row],[region]],"-")</f>
        <v>SGP</v>
      </c>
      <c r="M147" s="8">
        <f t="shared" si="2"/>
        <v>12</v>
      </c>
      <c r="N147" s="4">
        <f>tbl_SaaS_Audit[[#This Row],[Tenure_Months]]*tbl_SaaS_Audit[[#This Row],[Monthly_Revenue]]</f>
        <v>102031.44</v>
      </c>
      <c r="O147" s="3" t="str" cm="1">
        <f t="array" ref="O14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47" s="4" cm="1">
        <f t="array" ref="P147">_xlfn.IFS(tbl_SaaS_Audit[[#This Row],[Risk_Level]]="CRITICAL RISK",tbl_SaaS_Audit[[#This Row],[Monthly_Revenue]]*12,TRUE,0)</f>
        <v>0</v>
      </c>
    </row>
    <row r="148" spans="1:16">
      <c r="A148" s="1">
        <v>147</v>
      </c>
      <c r="B148" s="1" t="s">
        <v>68</v>
      </c>
      <c r="C148" s="1" t="s">
        <v>13</v>
      </c>
      <c r="D148" s="2">
        <v>45486</v>
      </c>
      <c r="E148" s="1" t="s">
        <v>41</v>
      </c>
      <c r="F148" s="4">
        <v>11159.47</v>
      </c>
      <c r="G148" s="1" t="s">
        <v>42</v>
      </c>
      <c r="H148" s="2">
        <v>46151</v>
      </c>
      <c r="I148" s="1">
        <v>9</v>
      </c>
      <c r="J148" s="1" t="s">
        <v>47</v>
      </c>
      <c r="K148" s="1" t="str">
        <f>_xlfn.TEXTBEFORE(tbl_SaaS_Audit[[#This Row],[region]],"-")</f>
        <v>NA</v>
      </c>
      <c r="L148" s="8" t="str">
        <f>_xlfn.TEXTAFTER(tbl_SaaS_Audit[[#This Row],[region]],"-")</f>
        <v>WEST</v>
      </c>
      <c r="M148" s="8">
        <f t="shared" si="2"/>
        <v>26</v>
      </c>
      <c r="N148" s="4">
        <f>tbl_SaaS_Audit[[#This Row],[Tenure_Months]]*tbl_SaaS_Audit[[#This Row],[Monthly_Revenue]]</f>
        <v>290146.21999999997</v>
      </c>
      <c r="O148" s="3" t="str" cm="1">
        <f t="array" ref="O14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48" s="4" cm="1">
        <f t="array" ref="P148">_xlfn.IFS(tbl_SaaS_Audit[[#This Row],[Risk_Level]]="CRITICAL RISK",tbl_SaaS_Audit[[#This Row],[Monthly_Revenue]]*12,TRUE,0)</f>
        <v>0</v>
      </c>
    </row>
    <row r="149" spans="1:16">
      <c r="A149" s="1">
        <v>148</v>
      </c>
      <c r="B149" s="1" t="s">
        <v>167</v>
      </c>
      <c r="C149" s="1" t="s">
        <v>14</v>
      </c>
      <c r="D149" s="2">
        <v>45519</v>
      </c>
      <c r="E149" s="1" t="s">
        <v>39</v>
      </c>
      <c r="F149" s="4">
        <v>12769.7</v>
      </c>
      <c r="G149" s="1" t="s">
        <v>42</v>
      </c>
      <c r="H149" s="2">
        <v>46110</v>
      </c>
      <c r="I149" s="1">
        <v>11</v>
      </c>
      <c r="J149" s="1" t="s">
        <v>34</v>
      </c>
      <c r="K149" s="1" t="str">
        <f>_xlfn.TEXTBEFORE(tbl_SaaS_Audit[[#This Row],[region]],"-")</f>
        <v>APAC</v>
      </c>
      <c r="L149" s="8" t="str">
        <f>_xlfn.TEXTAFTER(tbl_SaaS_Audit[[#This Row],[region]],"-")</f>
        <v>SGP</v>
      </c>
      <c r="M149" s="8">
        <f t="shared" si="2"/>
        <v>25</v>
      </c>
      <c r="N149" s="4">
        <f>tbl_SaaS_Audit[[#This Row],[Tenure_Months]]*tbl_SaaS_Audit[[#This Row],[Monthly_Revenue]]</f>
        <v>319242.5</v>
      </c>
      <c r="O149" s="3" t="str" cm="1">
        <f t="array" ref="O14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49" s="4" cm="1">
        <f t="array" ref="P149">_xlfn.IFS(tbl_SaaS_Audit[[#This Row],[Risk_Level]]="CRITICAL RISK",tbl_SaaS_Audit[[#This Row],[Monthly_Revenue]]*12,TRUE,0)</f>
        <v>153236.40000000002</v>
      </c>
    </row>
    <row r="150" spans="1:16">
      <c r="A150" s="1">
        <v>149</v>
      </c>
      <c r="B150" s="1" t="s">
        <v>168</v>
      </c>
      <c r="C150" s="1" t="s">
        <v>15</v>
      </c>
      <c r="D150" s="2">
        <v>45423</v>
      </c>
      <c r="E150" s="1" t="s">
        <v>32</v>
      </c>
      <c r="F150" s="4">
        <v>10592.91</v>
      </c>
      <c r="G150" s="1" t="s">
        <v>33</v>
      </c>
      <c r="H150" s="2">
        <v>46188</v>
      </c>
      <c r="I150" s="1">
        <v>0</v>
      </c>
      <c r="J150" s="1" t="s">
        <v>34</v>
      </c>
      <c r="K150" s="1" t="str">
        <f>_xlfn.TEXTBEFORE(tbl_SaaS_Audit[[#This Row],[region]],"-")</f>
        <v>APAC</v>
      </c>
      <c r="L150" s="8" t="str">
        <f>_xlfn.TEXTAFTER(tbl_SaaS_Audit[[#This Row],[region]],"-")</f>
        <v>SGP</v>
      </c>
      <c r="M150" s="8">
        <f t="shared" si="2"/>
        <v>25</v>
      </c>
      <c r="N150" s="4">
        <f>tbl_SaaS_Audit[[#This Row],[Tenure_Months]]*tbl_SaaS_Audit[[#This Row],[Monthly_Revenue]]</f>
        <v>264822.75</v>
      </c>
      <c r="O150" s="3" t="str" cm="1">
        <f t="array" ref="O15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50" s="4" cm="1">
        <f t="array" ref="P150">_xlfn.IFS(tbl_SaaS_Audit[[#This Row],[Risk_Level]]="CRITICAL RISK",tbl_SaaS_Audit[[#This Row],[Monthly_Revenue]]*12,TRUE,0)</f>
        <v>0</v>
      </c>
    </row>
    <row r="151" spans="1:16">
      <c r="A151" s="1">
        <v>150</v>
      </c>
      <c r="B151" s="1" t="s">
        <v>169</v>
      </c>
      <c r="C151" s="1" t="s">
        <v>15</v>
      </c>
      <c r="D151" s="2">
        <v>45334</v>
      </c>
      <c r="E151" s="1" t="s">
        <v>41</v>
      </c>
      <c r="F151" s="4">
        <v>9803.27</v>
      </c>
      <c r="G151" s="1" t="s">
        <v>33</v>
      </c>
      <c r="H151" s="1"/>
      <c r="I151" s="1">
        <v>7</v>
      </c>
      <c r="J151" s="1" t="s">
        <v>45</v>
      </c>
      <c r="K151" s="1" t="str">
        <f>_xlfn.TEXTBEFORE(tbl_SaaS_Audit[[#This Row],[region]],"-")</f>
        <v>EU</v>
      </c>
      <c r="L151" s="8" t="str">
        <f>_xlfn.TEXTAFTER(tbl_SaaS_Audit[[#This Row],[region]],"-")</f>
        <v>CENTRAL</v>
      </c>
      <c r="M151" s="8">
        <f t="shared" si="2"/>
        <v>31</v>
      </c>
      <c r="N151" s="4">
        <f>tbl_SaaS_Audit[[#This Row],[Tenure_Months]]*tbl_SaaS_Audit[[#This Row],[Monthly_Revenue]]</f>
        <v>303901.37</v>
      </c>
      <c r="O151" s="3" t="str" cm="1">
        <f t="array" ref="O15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51" s="4" cm="1">
        <f t="array" ref="P151">_xlfn.IFS(tbl_SaaS_Audit[[#This Row],[Risk_Level]]="CRITICAL RISK",tbl_SaaS_Audit[[#This Row],[Monthly_Revenue]]*12,TRUE,0)</f>
        <v>0</v>
      </c>
    </row>
    <row r="152" spans="1:16">
      <c r="A152" s="1">
        <v>151</v>
      </c>
      <c r="B152" s="1" t="s">
        <v>50</v>
      </c>
      <c r="C152" s="1" t="s">
        <v>14</v>
      </c>
      <c r="D152" s="2">
        <v>45828</v>
      </c>
      <c r="E152" s="1" t="s">
        <v>32</v>
      </c>
      <c r="F152" s="4">
        <v>10642.24</v>
      </c>
      <c r="G152" s="1" t="s">
        <v>42</v>
      </c>
      <c r="H152" s="2">
        <v>45895</v>
      </c>
      <c r="I152" s="1">
        <v>1</v>
      </c>
      <c r="J152" s="1" t="s">
        <v>51</v>
      </c>
      <c r="K152" s="1" t="str">
        <f>_xlfn.TEXTBEFORE(tbl_SaaS_Audit[[#This Row],[region]],"-")</f>
        <v>NA</v>
      </c>
      <c r="L152" s="8" t="str">
        <f>_xlfn.TEXTAFTER(tbl_SaaS_Audit[[#This Row],[region]],"-")</f>
        <v>EAST</v>
      </c>
      <c r="M152" s="8">
        <f t="shared" si="2"/>
        <v>15</v>
      </c>
      <c r="N152" s="4">
        <f>tbl_SaaS_Audit[[#This Row],[Tenure_Months]]*tbl_SaaS_Audit[[#This Row],[Monthly_Revenue]]</f>
        <v>159633.60000000001</v>
      </c>
      <c r="O152" s="3" t="str" cm="1">
        <f t="array" ref="O15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52" s="4" cm="1">
        <f t="array" ref="P152">_xlfn.IFS(tbl_SaaS_Audit[[#This Row],[Risk_Level]]="CRITICAL RISK",tbl_SaaS_Audit[[#This Row],[Monthly_Revenue]]*12,TRUE,0)</f>
        <v>0</v>
      </c>
    </row>
    <row r="153" spans="1:16">
      <c r="A153" s="1">
        <v>152</v>
      </c>
      <c r="B153" s="1" t="s">
        <v>50</v>
      </c>
      <c r="C153" s="1" t="s">
        <v>12</v>
      </c>
      <c r="D153" s="2">
        <v>45782</v>
      </c>
      <c r="E153" s="1" t="s">
        <v>32</v>
      </c>
      <c r="F153" s="4">
        <v>2784.7</v>
      </c>
      <c r="G153" s="1" t="s">
        <v>49</v>
      </c>
      <c r="H153" s="2">
        <v>46009</v>
      </c>
      <c r="I153" s="1">
        <v>18</v>
      </c>
      <c r="J153" s="1" t="s">
        <v>37</v>
      </c>
      <c r="K153" s="1" t="str">
        <f>_xlfn.TEXTBEFORE(tbl_SaaS_Audit[[#This Row],[region]],"-")</f>
        <v>MEA</v>
      </c>
      <c r="L153" s="8" t="str">
        <f>_xlfn.TEXTAFTER(tbl_SaaS_Audit[[#This Row],[region]],"-")</f>
        <v>EGY</v>
      </c>
      <c r="M153" s="8">
        <f t="shared" si="2"/>
        <v>16</v>
      </c>
      <c r="N153" s="4">
        <f>tbl_SaaS_Audit[[#This Row],[Tenure_Months]]*tbl_SaaS_Audit[[#This Row],[Monthly_Revenue]]</f>
        <v>44555.199999999997</v>
      </c>
      <c r="O153" s="3" t="str" cm="1">
        <f t="array" ref="O15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53" s="4" cm="1">
        <f t="array" ref="P153">_xlfn.IFS(tbl_SaaS_Audit[[#This Row],[Risk_Level]]="CRITICAL RISK",tbl_SaaS_Audit[[#This Row],[Monthly_Revenue]]*12,TRUE,0)</f>
        <v>0</v>
      </c>
    </row>
    <row r="154" spans="1:16">
      <c r="A154" s="1">
        <v>153</v>
      </c>
      <c r="B154" s="1" t="s">
        <v>170</v>
      </c>
      <c r="C154" s="1" t="s">
        <v>13</v>
      </c>
      <c r="D154" s="2">
        <v>45581</v>
      </c>
      <c r="E154" s="1" t="s">
        <v>39</v>
      </c>
      <c r="F154" s="4">
        <v>8882.58</v>
      </c>
      <c r="G154" s="1" t="s">
        <v>33</v>
      </c>
      <c r="H154" s="1"/>
      <c r="I154" s="1">
        <v>13</v>
      </c>
      <c r="J154" s="1" t="s">
        <v>45</v>
      </c>
      <c r="K154" s="1" t="str">
        <f>_xlfn.TEXTBEFORE(tbl_SaaS_Audit[[#This Row],[region]],"-")</f>
        <v>EU</v>
      </c>
      <c r="L154" s="8" t="str">
        <f>_xlfn.TEXTAFTER(tbl_SaaS_Audit[[#This Row],[region]],"-")</f>
        <v>CENTRAL</v>
      </c>
      <c r="M154" s="8">
        <f t="shared" si="2"/>
        <v>23</v>
      </c>
      <c r="N154" s="4">
        <f>tbl_SaaS_Audit[[#This Row],[Tenure_Months]]*tbl_SaaS_Audit[[#This Row],[Monthly_Revenue]]</f>
        <v>204299.34</v>
      </c>
      <c r="O154" s="3" t="str" cm="1">
        <f t="array" ref="O15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54" s="4" cm="1">
        <f t="array" ref="P154">_xlfn.IFS(tbl_SaaS_Audit[[#This Row],[Risk_Level]]="CRITICAL RISK",tbl_SaaS_Audit[[#This Row],[Monthly_Revenue]]*12,TRUE,0)</f>
        <v>0</v>
      </c>
    </row>
    <row r="155" spans="1:16">
      <c r="A155" s="1">
        <v>154</v>
      </c>
      <c r="B155" s="1" t="s">
        <v>171</v>
      </c>
      <c r="C155" s="1" t="s">
        <v>11</v>
      </c>
      <c r="D155" s="2">
        <v>45390</v>
      </c>
      <c r="E155" s="1" t="s">
        <v>32</v>
      </c>
      <c r="F155" s="4">
        <v>9482.06</v>
      </c>
      <c r="G155" s="1" t="s">
        <v>42</v>
      </c>
      <c r="H155" s="2">
        <v>45848</v>
      </c>
      <c r="I155" s="1">
        <v>10</v>
      </c>
      <c r="J155" s="1" t="s">
        <v>37</v>
      </c>
      <c r="K155" s="1" t="str">
        <f>_xlfn.TEXTBEFORE(tbl_SaaS_Audit[[#This Row],[region]],"-")</f>
        <v>MEA</v>
      </c>
      <c r="L155" s="8" t="str">
        <f>_xlfn.TEXTAFTER(tbl_SaaS_Audit[[#This Row],[region]],"-")</f>
        <v>EGY</v>
      </c>
      <c r="M155" s="8">
        <f t="shared" si="2"/>
        <v>29</v>
      </c>
      <c r="N155" s="4">
        <f>tbl_SaaS_Audit[[#This Row],[Tenure_Months]]*tbl_SaaS_Audit[[#This Row],[Monthly_Revenue]]</f>
        <v>274979.74</v>
      </c>
      <c r="O155" s="3" t="str" cm="1">
        <f t="array" ref="O15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55" s="4" cm="1">
        <f t="array" ref="P155">_xlfn.IFS(tbl_SaaS_Audit[[#This Row],[Risk_Level]]="CRITICAL RISK",tbl_SaaS_Audit[[#This Row],[Monthly_Revenue]]*12,TRUE,0)</f>
        <v>0</v>
      </c>
    </row>
    <row r="156" spans="1:16">
      <c r="A156" s="1">
        <v>155</v>
      </c>
      <c r="B156" s="1" t="s">
        <v>172</v>
      </c>
      <c r="C156" s="1" t="s">
        <v>13</v>
      </c>
      <c r="D156" s="2">
        <v>45528</v>
      </c>
      <c r="E156" s="1" t="s">
        <v>41</v>
      </c>
      <c r="F156" s="4">
        <v>12986.44</v>
      </c>
      <c r="G156" s="1" t="s">
        <v>42</v>
      </c>
      <c r="H156" s="2">
        <v>46152</v>
      </c>
      <c r="I156" s="1">
        <v>1</v>
      </c>
      <c r="J156" s="1" t="s">
        <v>51</v>
      </c>
      <c r="K156" s="1" t="str">
        <f>_xlfn.TEXTBEFORE(tbl_SaaS_Audit[[#This Row],[region]],"-")</f>
        <v>NA</v>
      </c>
      <c r="L156" s="8" t="str">
        <f>_xlfn.TEXTAFTER(tbl_SaaS_Audit[[#This Row],[region]],"-")</f>
        <v>EAST</v>
      </c>
      <c r="M156" s="8">
        <f t="shared" si="2"/>
        <v>25</v>
      </c>
      <c r="N156" s="4">
        <f>tbl_SaaS_Audit[[#This Row],[Tenure_Months]]*tbl_SaaS_Audit[[#This Row],[Monthly_Revenue]]</f>
        <v>324661</v>
      </c>
      <c r="O156" s="3" t="str" cm="1">
        <f t="array" ref="O15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56" s="4" cm="1">
        <f t="array" ref="P156">_xlfn.IFS(tbl_SaaS_Audit[[#This Row],[Risk_Level]]="CRITICAL RISK",tbl_SaaS_Audit[[#This Row],[Monthly_Revenue]]*12,TRUE,0)</f>
        <v>0</v>
      </c>
    </row>
    <row r="157" spans="1:16">
      <c r="A157" s="1">
        <v>156</v>
      </c>
      <c r="B157" s="1" t="s">
        <v>173</v>
      </c>
      <c r="C157" s="1" t="s">
        <v>12</v>
      </c>
      <c r="D157" s="2">
        <v>45731</v>
      </c>
      <c r="E157" s="1" t="s">
        <v>41</v>
      </c>
      <c r="F157" s="4">
        <v>13557.51</v>
      </c>
      <c r="G157" s="1" t="s">
        <v>42</v>
      </c>
      <c r="H157" s="2">
        <v>45997</v>
      </c>
      <c r="I157" s="1">
        <v>17</v>
      </c>
      <c r="J157" s="1" t="s">
        <v>51</v>
      </c>
      <c r="K157" s="1" t="str">
        <f>_xlfn.TEXTBEFORE(tbl_SaaS_Audit[[#This Row],[region]],"-")</f>
        <v>NA</v>
      </c>
      <c r="L157" s="8" t="str">
        <f>_xlfn.TEXTAFTER(tbl_SaaS_Audit[[#This Row],[region]],"-")</f>
        <v>EAST</v>
      </c>
      <c r="M157" s="8">
        <f t="shared" si="2"/>
        <v>18</v>
      </c>
      <c r="N157" s="4">
        <f>tbl_SaaS_Audit[[#This Row],[Tenure_Months]]*tbl_SaaS_Audit[[#This Row],[Monthly_Revenue]]</f>
        <v>244035.18</v>
      </c>
      <c r="O157" s="3" t="str" cm="1">
        <f t="array" ref="O15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57" s="4" cm="1">
        <f t="array" ref="P157">_xlfn.IFS(tbl_SaaS_Audit[[#This Row],[Risk_Level]]="CRITICAL RISK",tbl_SaaS_Audit[[#This Row],[Monthly_Revenue]]*12,TRUE,0)</f>
        <v>162690.12</v>
      </c>
    </row>
    <row r="158" spans="1:16">
      <c r="A158" s="1">
        <v>157</v>
      </c>
      <c r="B158" s="1" t="s">
        <v>174</v>
      </c>
      <c r="C158" s="1" t="s">
        <v>14</v>
      </c>
      <c r="D158" s="2">
        <v>45335</v>
      </c>
      <c r="E158" s="1" t="s">
        <v>41</v>
      </c>
      <c r="F158" s="4">
        <v>2982.82</v>
      </c>
      <c r="G158" s="1" t="s">
        <v>42</v>
      </c>
      <c r="H158" s="2">
        <v>46116</v>
      </c>
      <c r="I158" s="1">
        <v>14</v>
      </c>
      <c r="J158" s="1" t="s">
        <v>47</v>
      </c>
      <c r="K158" s="1" t="str">
        <f>_xlfn.TEXTBEFORE(tbl_SaaS_Audit[[#This Row],[region]],"-")</f>
        <v>NA</v>
      </c>
      <c r="L158" s="8" t="str">
        <f>_xlfn.TEXTAFTER(tbl_SaaS_Audit[[#This Row],[region]],"-")</f>
        <v>WEST</v>
      </c>
      <c r="M158" s="8">
        <f t="shared" si="2"/>
        <v>31</v>
      </c>
      <c r="N158" s="4">
        <f>tbl_SaaS_Audit[[#This Row],[Tenure_Months]]*tbl_SaaS_Audit[[#This Row],[Monthly_Revenue]]</f>
        <v>92467.42</v>
      </c>
      <c r="O158" s="3" t="str" cm="1">
        <f t="array" ref="O15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58" s="4" cm="1">
        <f t="array" ref="P158">_xlfn.IFS(tbl_SaaS_Audit[[#This Row],[Risk_Level]]="CRITICAL RISK",tbl_SaaS_Audit[[#This Row],[Monthly_Revenue]]*12,TRUE,0)</f>
        <v>35793.840000000004</v>
      </c>
    </row>
    <row r="159" spans="1:16">
      <c r="A159" s="1">
        <v>158</v>
      </c>
      <c r="B159" s="1" t="s">
        <v>89</v>
      </c>
      <c r="C159" s="1" t="s">
        <v>15</v>
      </c>
      <c r="D159" s="2">
        <v>45710</v>
      </c>
      <c r="E159" s="1" t="s">
        <v>39</v>
      </c>
      <c r="F159" s="4">
        <v>13234.25</v>
      </c>
      <c r="G159" s="1" t="s">
        <v>33</v>
      </c>
      <c r="H159" s="1"/>
      <c r="I159" s="1">
        <v>18</v>
      </c>
      <c r="J159" s="1" t="s">
        <v>34</v>
      </c>
      <c r="K159" s="1" t="str">
        <f>_xlfn.TEXTBEFORE(tbl_SaaS_Audit[[#This Row],[region]],"-")</f>
        <v>APAC</v>
      </c>
      <c r="L159" s="8" t="str">
        <f>_xlfn.TEXTAFTER(tbl_SaaS_Audit[[#This Row],[region]],"-")</f>
        <v>SGP</v>
      </c>
      <c r="M159" s="8">
        <f t="shared" si="2"/>
        <v>19</v>
      </c>
      <c r="N159" s="4">
        <f>tbl_SaaS_Audit[[#This Row],[Tenure_Months]]*tbl_SaaS_Audit[[#This Row],[Monthly_Revenue]]</f>
        <v>251450.75</v>
      </c>
      <c r="O159" s="3" t="str" cm="1">
        <f t="array" ref="O15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59" s="4" cm="1">
        <f t="array" ref="P159">_xlfn.IFS(tbl_SaaS_Audit[[#This Row],[Risk_Level]]="CRITICAL RISK",tbl_SaaS_Audit[[#This Row],[Monthly_Revenue]]*12,TRUE,0)</f>
        <v>0</v>
      </c>
    </row>
    <row r="160" spans="1:16">
      <c r="A160" s="1">
        <v>159</v>
      </c>
      <c r="B160" s="1" t="s">
        <v>137</v>
      </c>
      <c r="C160" s="1" t="s">
        <v>15</v>
      </c>
      <c r="D160" s="2">
        <v>45669</v>
      </c>
      <c r="E160" s="1" t="s">
        <v>41</v>
      </c>
      <c r="F160" s="4">
        <v>7967.62</v>
      </c>
      <c r="G160" s="1" t="s">
        <v>33</v>
      </c>
      <c r="H160" s="2">
        <v>46192</v>
      </c>
      <c r="I160" s="1">
        <v>15</v>
      </c>
      <c r="J160" s="1" t="s">
        <v>34</v>
      </c>
      <c r="K160" s="1" t="str">
        <f>_xlfn.TEXTBEFORE(tbl_SaaS_Audit[[#This Row],[region]],"-")</f>
        <v>APAC</v>
      </c>
      <c r="L160" s="8" t="str">
        <f>_xlfn.TEXTAFTER(tbl_SaaS_Audit[[#This Row],[region]],"-")</f>
        <v>SGP</v>
      </c>
      <c r="M160" s="8">
        <f t="shared" si="2"/>
        <v>17</v>
      </c>
      <c r="N160" s="4">
        <f>tbl_SaaS_Audit[[#This Row],[Tenure_Months]]*tbl_SaaS_Audit[[#This Row],[Monthly_Revenue]]</f>
        <v>135449.54</v>
      </c>
      <c r="O160" s="3" t="str" cm="1">
        <f t="array" ref="O16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60" s="4" cm="1">
        <f t="array" ref="P160">_xlfn.IFS(tbl_SaaS_Audit[[#This Row],[Risk_Level]]="CRITICAL RISK",tbl_SaaS_Audit[[#This Row],[Monthly_Revenue]]*12,TRUE,0)</f>
        <v>0</v>
      </c>
    </row>
    <row r="161" spans="1:16">
      <c r="A161" s="1">
        <v>160</v>
      </c>
      <c r="B161" s="1" t="s">
        <v>46</v>
      </c>
      <c r="C161" s="1" t="s">
        <v>13</v>
      </c>
      <c r="D161" s="2">
        <v>45769</v>
      </c>
      <c r="E161" s="1" t="s">
        <v>39</v>
      </c>
      <c r="F161" s="4">
        <v>5617.66</v>
      </c>
      <c r="G161" s="1" t="s">
        <v>36</v>
      </c>
      <c r="H161" s="2">
        <v>46205</v>
      </c>
      <c r="I161" s="1">
        <v>13</v>
      </c>
      <c r="J161" s="1" t="s">
        <v>51</v>
      </c>
      <c r="K161" s="1" t="str">
        <f>_xlfn.TEXTBEFORE(tbl_SaaS_Audit[[#This Row],[region]],"-")</f>
        <v>NA</v>
      </c>
      <c r="L161" s="8" t="str">
        <f>_xlfn.TEXTAFTER(tbl_SaaS_Audit[[#This Row],[region]],"-")</f>
        <v>EAST</v>
      </c>
      <c r="M161" s="8">
        <f t="shared" si="2"/>
        <v>17</v>
      </c>
      <c r="N161" s="4">
        <f>tbl_SaaS_Audit[[#This Row],[Tenure_Months]]*tbl_SaaS_Audit[[#This Row],[Monthly_Revenue]]</f>
        <v>95500.22</v>
      </c>
      <c r="O161" s="3" t="str" cm="1">
        <f t="array" ref="O16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61" s="4" cm="1">
        <f t="array" ref="P161">_xlfn.IFS(tbl_SaaS_Audit[[#This Row],[Risk_Level]]="CRITICAL RISK",tbl_SaaS_Audit[[#This Row],[Monthly_Revenue]]*12,TRUE,0)</f>
        <v>0</v>
      </c>
    </row>
    <row r="162" spans="1:16">
      <c r="A162" s="1">
        <v>161</v>
      </c>
      <c r="B162" s="1" t="s">
        <v>175</v>
      </c>
      <c r="C162" s="1" t="s">
        <v>12</v>
      </c>
      <c r="D162" s="2">
        <v>45465</v>
      </c>
      <c r="E162" s="1" t="s">
        <v>32</v>
      </c>
      <c r="F162" s="4">
        <v>8282.32</v>
      </c>
      <c r="G162" s="1" t="s">
        <v>36</v>
      </c>
      <c r="H162" s="2">
        <v>46074</v>
      </c>
      <c r="I162" s="1">
        <v>7</v>
      </c>
      <c r="J162" s="1" t="s">
        <v>34</v>
      </c>
      <c r="K162" s="1" t="str">
        <f>_xlfn.TEXTBEFORE(tbl_SaaS_Audit[[#This Row],[region]],"-")</f>
        <v>APAC</v>
      </c>
      <c r="L162" s="8" t="str">
        <f>_xlfn.TEXTAFTER(tbl_SaaS_Audit[[#This Row],[region]],"-")</f>
        <v>SGP</v>
      </c>
      <c r="M162" s="8">
        <f t="shared" si="2"/>
        <v>27</v>
      </c>
      <c r="N162" s="4">
        <f>tbl_SaaS_Audit[[#This Row],[Tenure_Months]]*tbl_SaaS_Audit[[#This Row],[Monthly_Revenue]]</f>
        <v>223622.63999999998</v>
      </c>
      <c r="O162" s="3" t="str" cm="1">
        <f t="array" ref="O16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62" s="4" cm="1">
        <f t="array" ref="P162">_xlfn.IFS(tbl_SaaS_Audit[[#This Row],[Risk_Level]]="CRITICAL RISK",tbl_SaaS_Audit[[#This Row],[Monthly_Revenue]]*12,TRUE,0)</f>
        <v>0</v>
      </c>
    </row>
    <row r="163" spans="1:16">
      <c r="A163" s="1">
        <v>162</v>
      </c>
      <c r="B163" s="1" t="s">
        <v>176</v>
      </c>
      <c r="C163" s="1" t="s">
        <v>14</v>
      </c>
      <c r="D163" s="2">
        <v>45674</v>
      </c>
      <c r="E163" s="1" t="s">
        <v>41</v>
      </c>
      <c r="F163" s="4">
        <v>14463.88</v>
      </c>
      <c r="G163" s="1" t="s">
        <v>36</v>
      </c>
      <c r="H163" s="2">
        <v>45935</v>
      </c>
      <c r="I163" s="1">
        <v>3</v>
      </c>
      <c r="J163" s="1" t="s">
        <v>34</v>
      </c>
      <c r="K163" s="1" t="str">
        <f>_xlfn.TEXTBEFORE(tbl_SaaS_Audit[[#This Row],[region]],"-")</f>
        <v>APAC</v>
      </c>
      <c r="L163" s="8" t="str">
        <f>_xlfn.TEXTAFTER(tbl_SaaS_Audit[[#This Row],[region]],"-")</f>
        <v>SGP</v>
      </c>
      <c r="M163" s="8">
        <f t="shared" si="2"/>
        <v>20</v>
      </c>
      <c r="N163" s="4">
        <f>tbl_SaaS_Audit[[#This Row],[Tenure_Months]]*tbl_SaaS_Audit[[#This Row],[Monthly_Revenue]]</f>
        <v>289277.59999999998</v>
      </c>
      <c r="O163" s="3" t="str" cm="1">
        <f t="array" ref="O16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63" s="4" cm="1">
        <f t="array" ref="P163">_xlfn.IFS(tbl_SaaS_Audit[[#This Row],[Risk_Level]]="CRITICAL RISK",tbl_SaaS_Audit[[#This Row],[Monthly_Revenue]]*12,TRUE,0)</f>
        <v>0</v>
      </c>
    </row>
    <row r="164" spans="1:16">
      <c r="A164" s="1">
        <v>163</v>
      </c>
      <c r="B164" s="1" t="s">
        <v>154</v>
      </c>
      <c r="C164" s="1" t="s">
        <v>14</v>
      </c>
      <c r="D164" s="2">
        <v>45345</v>
      </c>
      <c r="E164" s="1" t="s">
        <v>32</v>
      </c>
      <c r="F164" s="4">
        <v>6203.46</v>
      </c>
      <c r="G164" s="1" t="s">
        <v>36</v>
      </c>
      <c r="H164" s="1"/>
      <c r="I164" s="1">
        <v>13</v>
      </c>
      <c r="J164" s="1" t="s">
        <v>37</v>
      </c>
      <c r="K164" s="1" t="str">
        <f>_xlfn.TEXTBEFORE(tbl_SaaS_Audit[[#This Row],[region]],"-")</f>
        <v>MEA</v>
      </c>
      <c r="L164" s="8" t="str">
        <f>_xlfn.TEXTAFTER(tbl_SaaS_Audit[[#This Row],[region]],"-")</f>
        <v>EGY</v>
      </c>
      <c r="M164" s="8">
        <f t="shared" si="2"/>
        <v>31</v>
      </c>
      <c r="N164" s="4">
        <f>tbl_SaaS_Audit[[#This Row],[Tenure_Months]]*tbl_SaaS_Audit[[#This Row],[Monthly_Revenue]]</f>
        <v>192307.26</v>
      </c>
      <c r="O164" s="3" t="str" cm="1">
        <f t="array" ref="O16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64" s="4" cm="1">
        <f t="array" ref="P164">_xlfn.IFS(tbl_SaaS_Audit[[#This Row],[Risk_Level]]="CRITICAL RISK",tbl_SaaS_Audit[[#This Row],[Monthly_Revenue]]*12,TRUE,0)</f>
        <v>0</v>
      </c>
    </row>
    <row r="165" spans="1:16">
      <c r="A165" s="1">
        <v>164</v>
      </c>
      <c r="B165" s="1" t="s">
        <v>177</v>
      </c>
      <c r="C165" s="1" t="s">
        <v>13</v>
      </c>
      <c r="D165" s="2">
        <v>45542</v>
      </c>
      <c r="E165" s="1" t="s">
        <v>39</v>
      </c>
      <c r="F165" s="4">
        <v>13393.44</v>
      </c>
      <c r="G165" s="1" t="s">
        <v>36</v>
      </c>
      <c r="H165" s="2">
        <v>46128</v>
      </c>
      <c r="I165" s="1">
        <v>17</v>
      </c>
      <c r="J165" s="1" t="s">
        <v>51</v>
      </c>
      <c r="K165" s="1" t="str">
        <f>_xlfn.TEXTBEFORE(tbl_SaaS_Audit[[#This Row],[region]],"-")</f>
        <v>NA</v>
      </c>
      <c r="L165" s="8" t="str">
        <f>_xlfn.TEXTAFTER(tbl_SaaS_Audit[[#This Row],[region]],"-")</f>
        <v>EAST</v>
      </c>
      <c r="M165" s="8">
        <f t="shared" si="2"/>
        <v>24</v>
      </c>
      <c r="N165" s="4">
        <f>tbl_SaaS_Audit[[#This Row],[Tenure_Months]]*tbl_SaaS_Audit[[#This Row],[Monthly_Revenue]]</f>
        <v>321442.56</v>
      </c>
      <c r="O165" s="3" t="str" cm="1">
        <f t="array" ref="O16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65" s="4" cm="1">
        <f t="array" ref="P165">_xlfn.IFS(tbl_SaaS_Audit[[#This Row],[Risk_Level]]="CRITICAL RISK",tbl_SaaS_Audit[[#This Row],[Monthly_Revenue]]*12,TRUE,0)</f>
        <v>0</v>
      </c>
    </row>
    <row r="166" spans="1:16">
      <c r="A166" s="1">
        <v>165</v>
      </c>
      <c r="B166" s="1" t="s">
        <v>171</v>
      </c>
      <c r="C166" s="1" t="s">
        <v>11</v>
      </c>
      <c r="D166" s="2">
        <v>45342</v>
      </c>
      <c r="E166" s="1" t="s">
        <v>39</v>
      </c>
      <c r="F166" s="4">
        <v>8770.24</v>
      </c>
      <c r="G166" s="1" t="s">
        <v>42</v>
      </c>
      <c r="H166" s="1"/>
      <c r="I166" s="1">
        <v>9</v>
      </c>
      <c r="J166" s="1" t="s">
        <v>47</v>
      </c>
      <c r="K166" s="1" t="str">
        <f>_xlfn.TEXTBEFORE(tbl_SaaS_Audit[[#This Row],[region]],"-")</f>
        <v>NA</v>
      </c>
      <c r="L166" s="8" t="str">
        <f>_xlfn.TEXTAFTER(tbl_SaaS_Audit[[#This Row],[region]],"-")</f>
        <v>WEST</v>
      </c>
      <c r="M166" s="8">
        <f t="shared" si="2"/>
        <v>31</v>
      </c>
      <c r="N166" s="4">
        <f>tbl_SaaS_Audit[[#This Row],[Tenure_Months]]*tbl_SaaS_Audit[[#This Row],[Monthly_Revenue]]</f>
        <v>271877.44</v>
      </c>
      <c r="O166" s="3" t="str" cm="1">
        <f t="array" ref="O16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66" s="4" cm="1">
        <f t="array" ref="P166">_xlfn.IFS(tbl_SaaS_Audit[[#This Row],[Risk_Level]]="CRITICAL RISK",tbl_SaaS_Audit[[#This Row],[Monthly_Revenue]]*12,TRUE,0)</f>
        <v>0</v>
      </c>
    </row>
    <row r="167" spans="1:16">
      <c r="A167" s="1">
        <v>166</v>
      </c>
      <c r="B167" s="1" t="s">
        <v>178</v>
      </c>
      <c r="C167" s="1" t="s">
        <v>15</v>
      </c>
      <c r="D167" s="2">
        <v>45521</v>
      </c>
      <c r="E167" s="1" t="s">
        <v>39</v>
      </c>
      <c r="F167" s="4">
        <v>5240.21</v>
      </c>
      <c r="G167" s="1" t="s">
        <v>42</v>
      </c>
      <c r="H167" s="1"/>
      <c r="I167" s="1">
        <v>18</v>
      </c>
      <c r="J167" s="1" t="s">
        <v>51</v>
      </c>
      <c r="K167" s="1" t="str">
        <f>_xlfn.TEXTBEFORE(tbl_SaaS_Audit[[#This Row],[region]],"-")</f>
        <v>NA</v>
      </c>
      <c r="L167" s="8" t="str">
        <f>_xlfn.TEXTAFTER(tbl_SaaS_Audit[[#This Row],[region]],"-")</f>
        <v>EAST</v>
      </c>
      <c r="M167" s="8">
        <f t="shared" si="2"/>
        <v>25</v>
      </c>
      <c r="N167" s="4">
        <f>tbl_SaaS_Audit[[#This Row],[Tenure_Months]]*tbl_SaaS_Audit[[#This Row],[Monthly_Revenue]]</f>
        <v>131005.25</v>
      </c>
      <c r="O167" s="3" t="str" cm="1">
        <f t="array" ref="O16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67" s="4" cm="1">
        <f t="array" ref="P167">_xlfn.IFS(tbl_SaaS_Audit[[#This Row],[Risk_Level]]="CRITICAL RISK",tbl_SaaS_Audit[[#This Row],[Monthly_Revenue]]*12,TRUE,0)</f>
        <v>62882.520000000004</v>
      </c>
    </row>
    <row r="168" spans="1:16">
      <c r="A168" s="1">
        <v>167</v>
      </c>
      <c r="B168" s="1" t="s">
        <v>75</v>
      </c>
      <c r="C168" s="1" t="s">
        <v>11</v>
      </c>
      <c r="D168" s="2">
        <v>45768</v>
      </c>
      <c r="E168" s="1" t="s">
        <v>39</v>
      </c>
      <c r="F168" s="4">
        <v>13415.79</v>
      </c>
      <c r="G168" s="1" t="s">
        <v>33</v>
      </c>
      <c r="H168" s="2">
        <v>46099</v>
      </c>
      <c r="I168" s="1">
        <v>17</v>
      </c>
      <c r="J168" s="1" t="s">
        <v>34</v>
      </c>
      <c r="K168" s="1" t="str">
        <f>_xlfn.TEXTBEFORE(tbl_SaaS_Audit[[#This Row],[region]],"-")</f>
        <v>APAC</v>
      </c>
      <c r="L168" s="8" t="str">
        <f>_xlfn.TEXTAFTER(tbl_SaaS_Audit[[#This Row],[region]],"-")</f>
        <v>SGP</v>
      </c>
      <c r="M168" s="8">
        <f t="shared" si="2"/>
        <v>11</v>
      </c>
      <c r="N168" s="4">
        <f>tbl_SaaS_Audit[[#This Row],[Tenure_Months]]*tbl_SaaS_Audit[[#This Row],[Monthly_Revenue]]</f>
        <v>147573.69</v>
      </c>
      <c r="O168" s="3" t="str" cm="1">
        <f t="array" ref="O16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68" s="4" cm="1">
        <f t="array" ref="P168">_xlfn.IFS(tbl_SaaS_Audit[[#This Row],[Risk_Level]]="CRITICAL RISK",tbl_SaaS_Audit[[#This Row],[Monthly_Revenue]]*12,TRUE,0)</f>
        <v>0</v>
      </c>
    </row>
    <row r="169" spans="1:16">
      <c r="A169" s="1">
        <v>168</v>
      </c>
      <c r="B169" s="1" t="s">
        <v>44</v>
      </c>
      <c r="C169" s="1" t="s">
        <v>13</v>
      </c>
      <c r="D169" s="2">
        <v>45489</v>
      </c>
      <c r="E169" s="1" t="s">
        <v>39</v>
      </c>
      <c r="F169" s="4">
        <v>13114.96</v>
      </c>
      <c r="G169" s="1" t="s">
        <v>36</v>
      </c>
      <c r="H169" s="2">
        <v>46227</v>
      </c>
      <c r="I169" s="1">
        <v>10</v>
      </c>
      <c r="J169" s="1" t="s">
        <v>47</v>
      </c>
      <c r="K169" s="1" t="str">
        <f>_xlfn.TEXTBEFORE(tbl_SaaS_Audit[[#This Row],[region]],"-")</f>
        <v>NA</v>
      </c>
      <c r="L169" s="8" t="str">
        <f>_xlfn.TEXTAFTER(tbl_SaaS_Audit[[#This Row],[region]],"-")</f>
        <v>WEST</v>
      </c>
      <c r="M169" s="8">
        <f t="shared" si="2"/>
        <v>26</v>
      </c>
      <c r="N169" s="4">
        <f>tbl_SaaS_Audit[[#This Row],[Tenure_Months]]*tbl_SaaS_Audit[[#This Row],[Monthly_Revenue]]</f>
        <v>340988.95999999996</v>
      </c>
      <c r="O169" s="3" t="str" cm="1">
        <f t="array" ref="O16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69" s="4" cm="1">
        <f t="array" ref="P169">_xlfn.IFS(tbl_SaaS_Audit[[#This Row],[Risk_Level]]="CRITICAL RISK",tbl_SaaS_Audit[[#This Row],[Monthly_Revenue]]*12,TRUE,0)</f>
        <v>0</v>
      </c>
    </row>
    <row r="170" spans="1:16">
      <c r="A170" s="1">
        <v>169</v>
      </c>
      <c r="B170" s="1" t="s">
        <v>114</v>
      </c>
      <c r="C170" s="1" t="s">
        <v>14</v>
      </c>
      <c r="D170" s="2">
        <v>45769</v>
      </c>
      <c r="E170" s="1" t="s">
        <v>41</v>
      </c>
      <c r="F170" s="4">
        <v>8214.07</v>
      </c>
      <c r="G170" s="1" t="s">
        <v>42</v>
      </c>
      <c r="H170" s="2">
        <v>46138</v>
      </c>
      <c r="I170" s="1">
        <v>3</v>
      </c>
      <c r="J170" s="1" t="s">
        <v>37</v>
      </c>
      <c r="K170" s="1" t="str">
        <f>_xlfn.TEXTBEFORE(tbl_SaaS_Audit[[#This Row],[region]],"-")</f>
        <v>MEA</v>
      </c>
      <c r="L170" s="8" t="str">
        <f>_xlfn.TEXTAFTER(tbl_SaaS_Audit[[#This Row],[region]],"-")</f>
        <v>EGY</v>
      </c>
      <c r="M170" s="8">
        <f t="shared" si="2"/>
        <v>17</v>
      </c>
      <c r="N170" s="4">
        <f>tbl_SaaS_Audit[[#This Row],[Tenure_Months]]*tbl_SaaS_Audit[[#This Row],[Monthly_Revenue]]</f>
        <v>139639.19</v>
      </c>
      <c r="O170" s="3" t="str" cm="1">
        <f t="array" ref="O17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70" s="4" cm="1">
        <f t="array" ref="P170">_xlfn.IFS(tbl_SaaS_Audit[[#This Row],[Risk_Level]]="CRITICAL RISK",tbl_SaaS_Audit[[#This Row],[Monthly_Revenue]]*12,TRUE,0)</f>
        <v>0</v>
      </c>
    </row>
    <row r="171" spans="1:16">
      <c r="A171" s="1">
        <v>170</v>
      </c>
      <c r="B171" s="1" t="s">
        <v>179</v>
      </c>
      <c r="C171" s="1" t="s">
        <v>15</v>
      </c>
      <c r="D171" s="2">
        <v>45713</v>
      </c>
      <c r="E171" s="1" t="s">
        <v>39</v>
      </c>
      <c r="F171" s="4">
        <v>3566.4</v>
      </c>
      <c r="G171" s="1" t="s">
        <v>42</v>
      </c>
      <c r="H171" s="2">
        <v>46231</v>
      </c>
      <c r="I171" s="1">
        <v>11</v>
      </c>
      <c r="J171" s="1" t="s">
        <v>51</v>
      </c>
      <c r="K171" s="1" t="str">
        <f>_xlfn.TEXTBEFORE(tbl_SaaS_Audit[[#This Row],[region]],"-")</f>
        <v>NA</v>
      </c>
      <c r="L171" s="8" t="str">
        <f>_xlfn.TEXTAFTER(tbl_SaaS_Audit[[#This Row],[region]],"-")</f>
        <v>EAST</v>
      </c>
      <c r="M171" s="8">
        <f t="shared" si="2"/>
        <v>19</v>
      </c>
      <c r="N171" s="4">
        <f>tbl_SaaS_Audit[[#This Row],[Tenure_Months]]*tbl_SaaS_Audit[[#This Row],[Monthly_Revenue]]</f>
        <v>67761.600000000006</v>
      </c>
      <c r="O171" s="3" t="str" cm="1">
        <f t="array" ref="O17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71" s="4" cm="1">
        <f t="array" ref="P171">_xlfn.IFS(tbl_SaaS_Audit[[#This Row],[Risk_Level]]="CRITICAL RISK",tbl_SaaS_Audit[[#This Row],[Monthly_Revenue]]*12,TRUE,0)</f>
        <v>42796.800000000003</v>
      </c>
    </row>
    <row r="172" spans="1:16">
      <c r="A172" s="1">
        <v>171</v>
      </c>
      <c r="B172" s="1" t="s">
        <v>180</v>
      </c>
      <c r="C172" s="1" t="s">
        <v>14</v>
      </c>
      <c r="D172" s="2">
        <v>45581</v>
      </c>
      <c r="E172" s="1" t="s">
        <v>41</v>
      </c>
      <c r="F172" s="4">
        <v>10112.209999999999</v>
      </c>
      <c r="G172" s="1" t="s">
        <v>33</v>
      </c>
      <c r="H172" s="2">
        <v>45877</v>
      </c>
      <c r="I172" s="1">
        <v>10</v>
      </c>
      <c r="J172" s="1" t="s">
        <v>45</v>
      </c>
      <c r="K172" s="1" t="str">
        <f>_xlfn.TEXTBEFORE(tbl_SaaS_Audit[[#This Row],[region]],"-")</f>
        <v>EU</v>
      </c>
      <c r="L172" s="8" t="str">
        <f>_xlfn.TEXTAFTER(tbl_SaaS_Audit[[#This Row],[region]],"-")</f>
        <v>CENTRAL</v>
      </c>
      <c r="M172" s="8">
        <f t="shared" si="2"/>
        <v>10</v>
      </c>
      <c r="N172" s="4">
        <f>tbl_SaaS_Audit[[#This Row],[Tenure_Months]]*tbl_SaaS_Audit[[#This Row],[Monthly_Revenue]]</f>
        <v>101122.09999999999</v>
      </c>
      <c r="O172" s="3" t="str" cm="1">
        <f t="array" ref="O17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72" s="4" cm="1">
        <f t="array" ref="P172">_xlfn.IFS(tbl_SaaS_Audit[[#This Row],[Risk_Level]]="CRITICAL RISK",tbl_SaaS_Audit[[#This Row],[Monthly_Revenue]]*12,TRUE,0)</f>
        <v>0</v>
      </c>
    </row>
    <row r="173" spans="1:16">
      <c r="A173" s="1">
        <v>172</v>
      </c>
      <c r="B173" s="1" t="s">
        <v>181</v>
      </c>
      <c r="C173" s="1" t="s">
        <v>15</v>
      </c>
      <c r="D173" s="2">
        <v>45517</v>
      </c>
      <c r="E173" s="1" t="s">
        <v>41</v>
      </c>
      <c r="F173" s="4">
        <v>10938.23</v>
      </c>
      <c r="G173" s="1" t="s">
        <v>42</v>
      </c>
      <c r="H173" s="2">
        <v>46154</v>
      </c>
      <c r="I173" s="1">
        <v>11</v>
      </c>
      <c r="J173" s="1" t="s">
        <v>51</v>
      </c>
      <c r="K173" s="1" t="str">
        <f>_xlfn.TEXTBEFORE(tbl_SaaS_Audit[[#This Row],[region]],"-")</f>
        <v>NA</v>
      </c>
      <c r="L173" s="8" t="str">
        <f>_xlfn.TEXTAFTER(tbl_SaaS_Audit[[#This Row],[region]],"-")</f>
        <v>EAST</v>
      </c>
      <c r="M173" s="8">
        <f t="shared" si="2"/>
        <v>25</v>
      </c>
      <c r="N173" s="4">
        <f>tbl_SaaS_Audit[[#This Row],[Tenure_Months]]*tbl_SaaS_Audit[[#This Row],[Monthly_Revenue]]</f>
        <v>273455.75</v>
      </c>
      <c r="O173" s="3" t="str" cm="1">
        <f t="array" ref="O17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73" s="4" cm="1">
        <f t="array" ref="P173">_xlfn.IFS(tbl_SaaS_Audit[[#This Row],[Risk_Level]]="CRITICAL RISK",tbl_SaaS_Audit[[#This Row],[Monthly_Revenue]]*12,TRUE,0)</f>
        <v>131258.76</v>
      </c>
    </row>
    <row r="174" spans="1:16">
      <c r="A174" s="1">
        <v>173</v>
      </c>
      <c r="B174" s="1" t="s">
        <v>182</v>
      </c>
      <c r="C174" s="1" t="s">
        <v>12</v>
      </c>
      <c r="D174" s="2">
        <v>45487</v>
      </c>
      <c r="E174" s="1" t="s">
        <v>41</v>
      </c>
      <c r="F174" s="4">
        <v>11217.64</v>
      </c>
      <c r="G174" s="1" t="s">
        <v>42</v>
      </c>
      <c r="H174" s="1"/>
      <c r="I174" s="1">
        <v>11</v>
      </c>
      <c r="J174" s="1" t="s">
        <v>47</v>
      </c>
      <c r="K174" s="1" t="str">
        <f>_xlfn.TEXTBEFORE(tbl_SaaS_Audit[[#This Row],[region]],"-")</f>
        <v>NA</v>
      </c>
      <c r="L174" s="8" t="str">
        <f>_xlfn.TEXTAFTER(tbl_SaaS_Audit[[#This Row],[region]],"-")</f>
        <v>WEST</v>
      </c>
      <c r="M174" s="8">
        <f t="shared" si="2"/>
        <v>26</v>
      </c>
      <c r="N174" s="4">
        <f>tbl_SaaS_Audit[[#This Row],[Tenure_Months]]*tbl_SaaS_Audit[[#This Row],[Monthly_Revenue]]</f>
        <v>291658.64</v>
      </c>
      <c r="O174" s="3" t="str" cm="1">
        <f t="array" ref="O17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74" s="4" cm="1">
        <f t="array" ref="P174">_xlfn.IFS(tbl_SaaS_Audit[[#This Row],[Risk_Level]]="CRITICAL RISK",tbl_SaaS_Audit[[#This Row],[Monthly_Revenue]]*12,TRUE,0)</f>
        <v>134611.68</v>
      </c>
    </row>
    <row r="175" spans="1:16">
      <c r="A175" s="1">
        <v>174</v>
      </c>
      <c r="B175" s="1" t="s">
        <v>150</v>
      </c>
      <c r="C175" s="1" t="s">
        <v>14</v>
      </c>
      <c r="D175" s="2">
        <v>45503</v>
      </c>
      <c r="E175" s="1" t="s">
        <v>32</v>
      </c>
      <c r="F175" s="4">
        <v>11957.92</v>
      </c>
      <c r="G175" s="1" t="s">
        <v>49</v>
      </c>
      <c r="H175" s="1"/>
      <c r="I175" s="1">
        <v>12</v>
      </c>
      <c r="J175" s="1" t="s">
        <v>45</v>
      </c>
      <c r="K175" s="1" t="str">
        <f>_xlfn.TEXTBEFORE(tbl_SaaS_Audit[[#This Row],[region]],"-")</f>
        <v>EU</v>
      </c>
      <c r="L175" s="8" t="str">
        <f>_xlfn.TEXTAFTER(tbl_SaaS_Audit[[#This Row],[region]],"-")</f>
        <v>CENTRAL</v>
      </c>
      <c r="M175" s="8">
        <f t="shared" si="2"/>
        <v>26</v>
      </c>
      <c r="N175" s="4">
        <f>tbl_SaaS_Audit[[#This Row],[Tenure_Months]]*tbl_SaaS_Audit[[#This Row],[Monthly_Revenue]]</f>
        <v>310905.92</v>
      </c>
      <c r="O175" s="3" t="str" cm="1">
        <f t="array" ref="O17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75" s="4" cm="1">
        <f t="array" ref="P175">_xlfn.IFS(tbl_SaaS_Audit[[#This Row],[Risk_Level]]="CRITICAL RISK",tbl_SaaS_Audit[[#This Row],[Monthly_Revenue]]*12,TRUE,0)</f>
        <v>0</v>
      </c>
    </row>
    <row r="176" spans="1:16">
      <c r="A176" s="1">
        <v>175</v>
      </c>
      <c r="B176" s="1" t="s">
        <v>183</v>
      </c>
      <c r="C176" s="1" t="s">
        <v>12</v>
      </c>
      <c r="D176" s="2">
        <v>45759</v>
      </c>
      <c r="E176" s="1" t="s">
        <v>41</v>
      </c>
      <c r="F176" s="4">
        <v>9650.44</v>
      </c>
      <c r="G176" s="1" t="s">
        <v>36</v>
      </c>
      <c r="H176" s="2">
        <v>46065</v>
      </c>
      <c r="I176" s="1">
        <v>17</v>
      </c>
      <c r="J176" s="1" t="s">
        <v>47</v>
      </c>
      <c r="K176" s="1" t="str">
        <f>_xlfn.TEXTBEFORE(tbl_SaaS_Audit[[#This Row],[region]],"-")</f>
        <v>NA</v>
      </c>
      <c r="L176" s="8" t="str">
        <f>_xlfn.TEXTAFTER(tbl_SaaS_Audit[[#This Row],[region]],"-")</f>
        <v>WEST</v>
      </c>
      <c r="M176" s="8">
        <f t="shared" si="2"/>
        <v>17</v>
      </c>
      <c r="N176" s="4">
        <f>tbl_SaaS_Audit[[#This Row],[Tenure_Months]]*tbl_SaaS_Audit[[#This Row],[Monthly_Revenue]]</f>
        <v>164057.48000000001</v>
      </c>
      <c r="O176" s="3" t="str" cm="1">
        <f t="array" ref="O17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76" s="4" cm="1">
        <f t="array" ref="P176">_xlfn.IFS(tbl_SaaS_Audit[[#This Row],[Risk_Level]]="CRITICAL RISK",tbl_SaaS_Audit[[#This Row],[Monthly_Revenue]]*12,TRUE,0)</f>
        <v>0</v>
      </c>
    </row>
    <row r="177" spans="1:16">
      <c r="A177" s="1">
        <v>176</v>
      </c>
      <c r="B177" s="1" t="s">
        <v>168</v>
      </c>
      <c r="C177" s="1" t="s">
        <v>15</v>
      </c>
      <c r="D177" s="2">
        <v>45325</v>
      </c>
      <c r="E177" s="1" t="s">
        <v>32</v>
      </c>
      <c r="F177" s="4">
        <v>10137.98</v>
      </c>
      <c r="G177" s="1" t="s">
        <v>49</v>
      </c>
      <c r="H177" s="1"/>
      <c r="I177" s="1">
        <v>10</v>
      </c>
      <c r="J177" s="1" t="s">
        <v>34</v>
      </c>
      <c r="K177" s="1" t="str">
        <f>_xlfn.TEXTBEFORE(tbl_SaaS_Audit[[#This Row],[region]],"-")</f>
        <v>APAC</v>
      </c>
      <c r="L177" s="8" t="str">
        <f>_xlfn.TEXTAFTER(tbl_SaaS_Audit[[#This Row],[region]],"-")</f>
        <v>SGP</v>
      </c>
      <c r="M177" s="8">
        <f t="shared" si="2"/>
        <v>31</v>
      </c>
      <c r="N177" s="4">
        <f>tbl_SaaS_Audit[[#This Row],[Tenure_Months]]*tbl_SaaS_Audit[[#This Row],[Monthly_Revenue]]</f>
        <v>314277.38</v>
      </c>
      <c r="O177" s="3" t="str" cm="1">
        <f t="array" ref="O17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77" s="4" cm="1">
        <f t="array" ref="P177">_xlfn.IFS(tbl_SaaS_Audit[[#This Row],[Risk_Level]]="CRITICAL RISK",tbl_SaaS_Audit[[#This Row],[Monthly_Revenue]]*12,TRUE,0)</f>
        <v>0</v>
      </c>
    </row>
    <row r="178" spans="1:16">
      <c r="A178" s="1">
        <v>177</v>
      </c>
      <c r="B178" s="1" t="s">
        <v>184</v>
      </c>
      <c r="C178" s="1" t="s">
        <v>14</v>
      </c>
      <c r="D178" s="2">
        <v>45387</v>
      </c>
      <c r="E178" s="1" t="s">
        <v>41</v>
      </c>
      <c r="F178" s="4">
        <v>12515.19</v>
      </c>
      <c r="G178" s="1" t="s">
        <v>42</v>
      </c>
      <c r="H178" s="2">
        <v>46119</v>
      </c>
      <c r="I178" s="1">
        <v>17</v>
      </c>
      <c r="J178" s="1" t="s">
        <v>47</v>
      </c>
      <c r="K178" s="1" t="str">
        <f>_xlfn.TEXTBEFORE(tbl_SaaS_Audit[[#This Row],[region]],"-")</f>
        <v>NA</v>
      </c>
      <c r="L178" s="8" t="str">
        <f>_xlfn.TEXTAFTER(tbl_SaaS_Audit[[#This Row],[region]],"-")</f>
        <v>WEST</v>
      </c>
      <c r="M178" s="8">
        <f t="shared" si="2"/>
        <v>29</v>
      </c>
      <c r="N178" s="4">
        <f>tbl_SaaS_Audit[[#This Row],[Tenure_Months]]*tbl_SaaS_Audit[[#This Row],[Monthly_Revenue]]</f>
        <v>362940.51</v>
      </c>
      <c r="O178" s="3" t="str" cm="1">
        <f t="array" ref="O17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78" s="4" cm="1">
        <f t="array" ref="P178">_xlfn.IFS(tbl_SaaS_Audit[[#This Row],[Risk_Level]]="CRITICAL RISK",tbl_SaaS_Audit[[#This Row],[Monthly_Revenue]]*12,TRUE,0)</f>
        <v>150182.28</v>
      </c>
    </row>
    <row r="179" spans="1:16">
      <c r="A179" s="1">
        <v>178</v>
      </c>
      <c r="B179" s="1" t="s">
        <v>185</v>
      </c>
      <c r="C179" s="1" t="s">
        <v>12</v>
      </c>
      <c r="D179" s="2">
        <v>45500</v>
      </c>
      <c r="E179" s="1" t="s">
        <v>39</v>
      </c>
      <c r="F179" s="4">
        <v>2022.19</v>
      </c>
      <c r="G179" s="1" t="s">
        <v>42</v>
      </c>
      <c r="H179" s="2">
        <v>46092</v>
      </c>
      <c r="I179" s="1">
        <v>9</v>
      </c>
      <c r="J179" s="1" t="s">
        <v>37</v>
      </c>
      <c r="K179" s="1" t="str">
        <f>_xlfn.TEXTBEFORE(tbl_SaaS_Audit[[#This Row],[region]],"-")</f>
        <v>MEA</v>
      </c>
      <c r="L179" s="8" t="str">
        <f>_xlfn.TEXTAFTER(tbl_SaaS_Audit[[#This Row],[region]],"-")</f>
        <v>EGY</v>
      </c>
      <c r="M179" s="8">
        <f t="shared" si="2"/>
        <v>26</v>
      </c>
      <c r="N179" s="4">
        <f>tbl_SaaS_Audit[[#This Row],[Tenure_Months]]*tbl_SaaS_Audit[[#This Row],[Monthly_Revenue]]</f>
        <v>52576.94</v>
      </c>
      <c r="O179" s="3" t="str" cm="1">
        <f t="array" ref="O17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79" s="4" cm="1">
        <f t="array" ref="P179">_xlfn.IFS(tbl_SaaS_Audit[[#This Row],[Risk_Level]]="CRITICAL RISK",tbl_SaaS_Audit[[#This Row],[Monthly_Revenue]]*12,TRUE,0)</f>
        <v>0</v>
      </c>
    </row>
    <row r="180" spans="1:16">
      <c r="A180" s="1">
        <v>179</v>
      </c>
      <c r="B180" s="1" t="s">
        <v>186</v>
      </c>
      <c r="C180" s="1" t="s">
        <v>12</v>
      </c>
      <c r="D180" s="2">
        <v>45813</v>
      </c>
      <c r="E180" s="1" t="s">
        <v>39</v>
      </c>
      <c r="F180" s="4">
        <v>4713.26</v>
      </c>
      <c r="G180" s="1" t="s">
        <v>36</v>
      </c>
      <c r="H180" s="2">
        <v>46113</v>
      </c>
      <c r="I180" s="1">
        <v>16</v>
      </c>
      <c r="J180" s="1" t="s">
        <v>34</v>
      </c>
      <c r="K180" s="1" t="str">
        <f>_xlfn.TEXTBEFORE(tbl_SaaS_Audit[[#This Row],[region]],"-")</f>
        <v>APAC</v>
      </c>
      <c r="L180" s="8" t="str">
        <f>_xlfn.TEXTAFTER(tbl_SaaS_Audit[[#This Row],[region]],"-")</f>
        <v>SGP</v>
      </c>
      <c r="M180" s="8">
        <f t="shared" si="2"/>
        <v>15</v>
      </c>
      <c r="N180" s="4">
        <f>tbl_SaaS_Audit[[#This Row],[Tenure_Months]]*tbl_SaaS_Audit[[#This Row],[Monthly_Revenue]]</f>
        <v>70698.900000000009</v>
      </c>
      <c r="O180" s="3" t="str" cm="1">
        <f t="array" ref="O18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80" s="4" cm="1">
        <f t="array" ref="P180">_xlfn.IFS(tbl_SaaS_Audit[[#This Row],[Risk_Level]]="CRITICAL RISK",tbl_SaaS_Audit[[#This Row],[Monthly_Revenue]]*12,TRUE,0)</f>
        <v>0</v>
      </c>
    </row>
    <row r="181" spans="1:16">
      <c r="A181" s="1">
        <v>180</v>
      </c>
      <c r="B181" s="1" t="s">
        <v>187</v>
      </c>
      <c r="C181" s="1" t="s">
        <v>15</v>
      </c>
      <c r="D181" s="2">
        <v>45679</v>
      </c>
      <c r="E181" s="1" t="s">
        <v>41</v>
      </c>
      <c r="F181" s="4">
        <v>9806.9</v>
      </c>
      <c r="G181" s="1" t="s">
        <v>33</v>
      </c>
      <c r="H181" s="2">
        <v>46001</v>
      </c>
      <c r="I181" s="1">
        <v>17</v>
      </c>
      <c r="J181" s="1" t="s">
        <v>51</v>
      </c>
      <c r="K181" s="1" t="str">
        <f>_xlfn.TEXTBEFORE(tbl_SaaS_Audit[[#This Row],[region]],"-")</f>
        <v>NA</v>
      </c>
      <c r="L181" s="8" t="str">
        <f>_xlfn.TEXTAFTER(tbl_SaaS_Audit[[#This Row],[region]],"-")</f>
        <v>EAST</v>
      </c>
      <c r="M181" s="8">
        <f t="shared" si="2"/>
        <v>11</v>
      </c>
      <c r="N181" s="4">
        <f>tbl_SaaS_Audit[[#This Row],[Tenure_Months]]*tbl_SaaS_Audit[[#This Row],[Monthly_Revenue]]</f>
        <v>107875.9</v>
      </c>
      <c r="O181" s="3" t="str" cm="1">
        <f t="array" ref="O18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81" s="4" cm="1">
        <f t="array" ref="P181">_xlfn.IFS(tbl_SaaS_Audit[[#This Row],[Risk_Level]]="CRITICAL RISK",tbl_SaaS_Audit[[#This Row],[Monthly_Revenue]]*12,TRUE,0)</f>
        <v>0</v>
      </c>
    </row>
    <row r="182" spans="1:16">
      <c r="A182" s="1">
        <v>181</v>
      </c>
      <c r="B182" s="1" t="s">
        <v>188</v>
      </c>
      <c r="C182" s="1" t="s">
        <v>11</v>
      </c>
      <c r="D182" s="2">
        <v>45542</v>
      </c>
      <c r="E182" s="1" t="s">
        <v>39</v>
      </c>
      <c r="F182" s="4">
        <v>4211.84</v>
      </c>
      <c r="G182" s="1" t="s">
        <v>36</v>
      </c>
      <c r="H182" s="2">
        <v>46221</v>
      </c>
      <c r="I182" s="1">
        <v>16</v>
      </c>
      <c r="J182" s="1" t="s">
        <v>45</v>
      </c>
      <c r="K182" s="1" t="str">
        <f>_xlfn.TEXTBEFORE(tbl_SaaS_Audit[[#This Row],[region]],"-")</f>
        <v>EU</v>
      </c>
      <c r="L182" s="8" t="str">
        <f>_xlfn.TEXTAFTER(tbl_SaaS_Audit[[#This Row],[region]],"-")</f>
        <v>CENTRAL</v>
      </c>
      <c r="M182" s="8">
        <f t="shared" si="2"/>
        <v>24</v>
      </c>
      <c r="N182" s="4">
        <f>tbl_SaaS_Audit[[#This Row],[Tenure_Months]]*tbl_SaaS_Audit[[#This Row],[Monthly_Revenue]]</f>
        <v>101084.16</v>
      </c>
      <c r="O182" s="3" t="str" cm="1">
        <f t="array" ref="O18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82" s="4" cm="1">
        <f t="array" ref="P182">_xlfn.IFS(tbl_SaaS_Audit[[#This Row],[Risk_Level]]="CRITICAL RISK",tbl_SaaS_Audit[[#This Row],[Monthly_Revenue]]*12,TRUE,0)</f>
        <v>0</v>
      </c>
    </row>
    <row r="183" spans="1:16">
      <c r="A183" s="1">
        <v>182</v>
      </c>
      <c r="B183" s="1" t="s">
        <v>167</v>
      </c>
      <c r="C183" s="1" t="s">
        <v>13</v>
      </c>
      <c r="D183" s="2">
        <v>45409</v>
      </c>
      <c r="E183" s="1" t="s">
        <v>32</v>
      </c>
      <c r="F183" s="4">
        <v>1999.89</v>
      </c>
      <c r="G183" s="1" t="s">
        <v>42</v>
      </c>
      <c r="H183" s="2">
        <v>45962</v>
      </c>
      <c r="I183" s="1">
        <v>9</v>
      </c>
      <c r="J183" s="1" t="s">
        <v>51</v>
      </c>
      <c r="K183" s="1" t="str">
        <f>_xlfn.TEXTBEFORE(tbl_SaaS_Audit[[#This Row],[region]],"-")</f>
        <v>NA</v>
      </c>
      <c r="L183" s="8" t="str">
        <f>_xlfn.TEXTAFTER(tbl_SaaS_Audit[[#This Row],[region]],"-")</f>
        <v>EAST</v>
      </c>
      <c r="M183" s="8">
        <f t="shared" si="2"/>
        <v>29</v>
      </c>
      <c r="N183" s="4">
        <f>tbl_SaaS_Audit[[#This Row],[Tenure_Months]]*tbl_SaaS_Audit[[#This Row],[Monthly_Revenue]]</f>
        <v>57996.810000000005</v>
      </c>
      <c r="O183" s="3" t="str" cm="1">
        <f t="array" ref="O18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83" s="4" cm="1">
        <f t="array" ref="P183">_xlfn.IFS(tbl_SaaS_Audit[[#This Row],[Risk_Level]]="CRITICAL RISK",tbl_SaaS_Audit[[#This Row],[Monthly_Revenue]]*12,TRUE,0)</f>
        <v>0</v>
      </c>
    </row>
    <row r="184" spans="1:16">
      <c r="A184" s="1">
        <v>183</v>
      </c>
      <c r="B184" s="1" t="s">
        <v>189</v>
      </c>
      <c r="C184" s="1" t="s">
        <v>15</v>
      </c>
      <c r="D184" s="2">
        <v>45410</v>
      </c>
      <c r="E184" s="1" t="s">
        <v>41</v>
      </c>
      <c r="F184" s="4">
        <v>5963.49</v>
      </c>
      <c r="G184" s="1" t="s">
        <v>33</v>
      </c>
      <c r="H184" s="2">
        <v>45932</v>
      </c>
      <c r="I184" s="1">
        <v>3</v>
      </c>
      <c r="J184" s="1" t="s">
        <v>45</v>
      </c>
      <c r="K184" s="1" t="str">
        <f>_xlfn.TEXTBEFORE(tbl_SaaS_Audit[[#This Row],[region]],"-")</f>
        <v>EU</v>
      </c>
      <c r="L184" s="8" t="str">
        <f>_xlfn.TEXTAFTER(tbl_SaaS_Audit[[#This Row],[region]],"-")</f>
        <v>CENTRAL</v>
      </c>
      <c r="M184" s="8">
        <f t="shared" si="2"/>
        <v>18</v>
      </c>
      <c r="N184" s="4">
        <f>tbl_SaaS_Audit[[#This Row],[Tenure_Months]]*tbl_SaaS_Audit[[#This Row],[Monthly_Revenue]]</f>
        <v>107342.81999999999</v>
      </c>
      <c r="O184" s="3" t="str" cm="1">
        <f t="array" ref="O18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84" s="4" cm="1">
        <f t="array" ref="P184">_xlfn.IFS(tbl_SaaS_Audit[[#This Row],[Risk_Level]]="CRITICAL RISK",tbl_SaaS_Audit[[#This Row],[Monthly_Revenue]]*12,TRUE,0)</f>
        <v>0</v>
      </c>
    </row>
    <row r="185" spans="1:16">
      <c r="A185" s="1">
        <v>184</v>
      </c>
      <c r="B185" s="1" t="s">
        <v>190</v>
      </c>
      <c r="C185" s="1" t="s">
        <v>15</v>
      </c>
      <c r="D185" s="2">
        <v>45344</v>
      </c>
      <c r="E185" s="1" t="s">
        <v>39</v>
      </c>
      <c r="F185" s="4">
        <v>11775.94</v>
      </c>
      <c r="G185" s="1" t="s">
        <v>49</v>
      </c>
      <c r="H185" s="2">
        <v>46203</v>
      </c>
      <c r="I185" s="1">
        <v>17</v>
      </c>
      <c r="J185" s="1" t="s">
        <v>34</v>
      </c>
      <c r="K185" s="1" t="str">
        <f>_xlfn.TEXTBEFORE(tbl_SaaS_Audit[[#This Row],[region]],"-")</f>
        <v>APAC</v>
      </c>
      <c r="L185" s="8" t="str">
        <f>_xlfn.TEXTAFTER(tbl_SaaS_Audit[[#This Row],[region]],"-")</f>
        <v>SGP</v>
      </c>
      <c r="M185" s="8">
        <f t="shared" si="2"/>
        <v>31</v>
      </c>
      <c r="N185" s="4">
        <f>tbl_SaaS_Audit[[#This Row],[Tenure_Months]]*tbl_SaaS_Audit[[#This Row],[Monthly_Revenue]]</f>
        <v>365054.14</v>
      </c>
      <c r="O185" s="3" t="str" cm="1">
        <f t="array" ref="O18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85" s="4" cm="1">
        <f t="array" ref="P185">_xlfn.IFS(tbl_SaaS_Audit[[#This Row],[Risk_Level]]="CRITICAL RISK",tbl_SaaS_Audit[[#This Row],[Monthly_Revenue]]*12,TRUE,0)</f>
        <v>0</v>
      </c>
    </row>
    <row r="186" spans="1:16">
      <c r="A186" s="1">
        <v>185</v>
      </c>
      <c r="B186" s="1" t="s">
        <v>191</v>
      </c>
      <c r="C186" s="1" t="s">
        <v>15</v>
      </c>
      <c r="D186" s="2">
        <v>45788</v>
      </c>
      <c r="E186" s="1" t="s">
        <v>41</v>
      </c>
      <c r="F186" s="4">
        <v>9116.6</v>
      </c>
      <c r="G186" s="1" t="s">
        <v>49</v>
      </c>
      <c r="H186" s="1"/>
      <c r="I186" s="1">
        <v>4</v>
      </c>
      <c r="J186" s="1" t="s">
        <v>47</v>
      </c>
      <c r="K186" s="1" t="str">
        <f>_xlfn.TEXTBEFORE(tbl_SaaS_Audit[[#This Row],[region]],"-")</f>
        <v>NA</v>
      </c>
      <c r="L186" s="8" t="str">
        <f>_xlfn.TEXTAFTER(tbl_SaaS_Audit[[#This Row],[region]],"-")</f>
        <v>WEST</v>
      </c>
      <c r="M186" s="8">
        <f t="shared" si="2"/>
        <v>16</v>
      </c>
      <c r="N186" s="4">
        <f>tbl_SaaS_Audit[[#This Row],[Tenure_Months]]*tbl_SaaS_Audit[[#This Row],[Monthly_Revenue]]</f>
        <v>145865.60000000001</v>
      </c>
      <c r="O186" s="3" t="str" cm="1">
        <f t="array" ref="O18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86" s="4" cm="1">
        <f t="array" ref="P186">_xlfn.IFS(tbl_SaaS_Audit[[#This Row],[Risk_Level]]="CRITICAL RISK",tbl_SaaS_Audit[[#This Row],[Monthly_Revenue]]*12,TRUE,0)</f>
        <v>0</v>
      </c>
    </row>
    <row r="187" spans="1:16">
      <c r="A187" s="1">
        <v>186</v>
      </c>
      <c r="B187" s="1" t="s">
        <v>192</v>
      </c>
      <c r="C187" s="1" t="s">
        <v>14</v>
      </c>
      <c r="D187" s="2">
        <v>45468</v>
      </c>
      <c r="E187" s="1" t="s">
        <v>32</v>
      </c>
      <c r="F187" s="4">
        <v>3186.12</v>
      </c>
      <c r="G187" s="1" t="s">
        <v>33</v>
      </c>
      <c r="H187" s="2">
        <v>46208</v>
      </c>
      <c r="I187" s="1">
        <v>2</v>
      </c>
      <c r="J187" s="1" t="s">
        <v>37</v>
      </c>
      <c r="K187" s="1" t="str">
        <f>_xlfn.TEXTBEFORE(tbl_SaaS_Audit[[#This Row],[region]],"-")</f>
        <v>MEA</v>
      </c>
      <c r="L187" s="8" t="str">
        <f>_xlfn.TEXTAFTER(tbl_SaaS_Audit[[#This Row],[region]],"-")</f>
        <v>EGY</v>
      </c>
      <c r="M187" s="8">
        <f t="shared" si="2"/>
        <v>25</v>
      </c>
      <c r="N187" s="4">
        <f>tbl_SaaS_Audit[[#This Row],[Tenure_Months]]*tbl_SaaS_Audit[[#This Row],[Monthly_Revenue]]</f>
        <v>79653</v>
      </c>
      <c r="O187" s="3" t="str" cm="1">
        <f t="array" ref="O18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87" s="4" cm="1">
        <f t="array" ref="P187">_xlfn.IFS(tbl_SaaS_Audit[[#This Row],[Risk_Level]]="CRITICAL RISK",tbl_SaaS_Audit[[#This Row],[Monthly_Revenue]]*12,TRUE,0)</f>
        <v>0</v>
      </c>
    </row>
    <row r="188" spans="1:16">
      <c r="A188" s="1">
        <v>187</v>
      </c>
      <c r="B188" s="1" t="s">
        <v>193</v>
      </c>
      <c r="C188" s="1" t="s">
        <v>12</v>
      </c>
      <c r="D188" s="2">
        <v>45629</v>
      </c>
      <c r="E188" s="1" t="s">
        <v>32</v>
      </c>
      <c r="F188" s="4">
        <v>11508.55</v>
      </c>
      <c r="G188" s="1" t="s">
        <v>33</v>
      </c>
      <c r="H188" s="2">
        <v>46135</v>
      </c>
      <c r="I188" s="1">
        <v>7</v>
      </c>
      <c r="J188" s="1" t="s">
        <v>37</v>
      </c>
      <c r="K188" s="1" t="str">
        <f>_xlfn.TEXTBEFORE(tbl_SaaS_Audit[[#This Row],[region]],"-")</f>
        <v>MEA</v>
      </c>
      <c r="L188" s="8" t="str">
        <f>_xlfn.TEXTAFTER(tbl_SaaS_Audit[[#This Row],[region]],"-")</f>
        <v>EGY</v>
      </c>
      <c r="M188" s="8">
        <f t="shared" si="2"/>
        <v>16</v>
      </c>
      <c r="N188" s="4">
        <f>tbl_SaaS_Audit[[#This Row],[Tenure_Months]]*tbl_SaaS_Audit[[#This Row],[Monthly_Revenue]]</f>
        <v>184136.8</v>
      </c>
      <c r="O188" s="3" t="str" cm="1">
        <f t="array" ref="O18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88" s="4" cm="1">
        <f t="array" ref="P188">_xlfn.IFS(tbl_SaaS_Audit[[#This Row],[Risk_Level]]="CRITICAL RISK",tbl_SaaS_Audit[[#This Row],[Monthly_Revenue]]*12,TRUE,0)</f>
        <v>0</v>
      </c>
    </row>
    <row r="189" spans="1:16">
      <c r="A189" s="1">
        <v>188</v>
      </c>
      <c r="B189" s="1" t="s">
        <v>86</v>
      </c>
      <c r="C189" s="1" t="s">
        <v>13</v>
      </c>
      <c r="D189" s="2">
        <v>45385</v>
      </c>
      <c r="E189" s="1" t="s">
        <v>32</v>
      </c>
      <c r="F189" s="4">
        <v>6433.4</v>
      </c>
      <c r="G189" s="1" t="s">
        <v>36</v>
      </c>
      <c r="H189" s="2">
        <v>46230</v>
      </c>
      <c r="I189" s="1">
        <v>18</v>
      </c>
      <c r="J189" s="1" t="s">
        <v>34</v>
      </c>
      <c r="K189" s="1" t="str">
        <f>_xlfn.TEXTBEFORE(tbl_SaaS_Audit[[#This Row],[region]],"-")</f>
        <v>APAC</v>
      </c>
      <c r="L189" s="8" t="str">
        <f>_xlfn.TEXTAFTER(tbl_SaaS_Audit[[#This Row],[region]],"-")</f>
        <v>SGP</v>
      </c>
      <c r="M189" s="8">
        <f t="shared" si="2"/>
        <v>29</v>
      </c>
      <c r="N189" s="4">
        <f>tbl_SaaS_Audit[[#This Row],[Tenure_Months]]*tbl_SaaS_Audit[[#This Row],[Monthly_Revenue]]</f>
        <v>186568.59999999998</v>
      </c>
      <c r="O189" s="3" t="str" cm="1">
        <f t="array" ref="O18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89" s="4" cm="1">
        <f t="array" ref="P189">_xlfn.IFS(tbl_SaaS_Audit[[#This Row],[Risk_Level]]="CRITICAL RISK",tbl_SaaS_Audit[[#This Row],[Monthly_Revenue]]*12,TRUE,0)</f>
        <v>0</v>
      </c>
    </row>
    <row r="190" spans="1:16">
      <c r="A190" s="1">
        <v>189</v>
      </c>
      <c r="B190" s="1" t="s">
        <v>194</v>
      </c>
      <c r="C190" s="1" t="s">
        <v>12</v>
      </c>
      <c r="D190" s="2">
        <v>45825</v>
      </c>
      <c r="E190" s="1" t="s">
        <v>39</v>
      </c>
      <c r="F190" s="4">
        <v>5543.12</v>
      </c>
      <c r="G190" s="1" t="s">
        <v>36</v>
      </c>
      <c r="H190" s="2">
        <v>46172</v>
      </c>
      <c r="I190" s="1">
        <v>1</v>
      </c>
      <c r="J190" s="1" t="s">
        <v>47</v>
      </c>
      <c r="K190" s="1" t="str">
        <f>_xlfn.TEXTBEFORE(tbl_SaaS_Audit[[#This Row],[region]],"-")</f>
        <v>NA</v>
      </c>
      <c r="L190" s="8" t="str">
        <f>_xlfn.TEXTAFTER(tbl_SaaS_Audit[[#This Row],[region]],"-")</f>
        <v>WEST</v>
      </c>
      <c r="M190" s="8">
        <f t="shared" si="2"/>
        <v>15</v>
      </c>
      <c r="N190" s="4">
        <f>tbl_SaaS_Audit[[#This Row],[Tenure_Months]]*tbl_SaaS_Audit[[#This Row],[Monthly_Revenue]]</f>
        <v>83146.8</v>
      </c>
      <c r="O190" s="3" t="str" cm="1">
        <f t="array" ref="O19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90" s="4" cm="1">
        <f t="array" ref="P190">_xlfn.IFS(tbl_SaaS_Audit[[#This Row],[Risk_Level]]="CRITICAL RISK",tbl_SaaS_Audit[[#This Row],[Monthly_Revenue]]*12,TRUE,0)</f>
        <v>0</v>
      </c>
    </row>
    <row r="191" spans="1:16">
      <c r="A191" s="1">
        <v>190</v>
      </c>
      <c r="B191" s="1" t="s">
        <v>52</v>
      </c>
      <c r="C191" s="1" t="s">
        <v>12</v>
      </c>
      <c r="D191" s="2">
        <v>45301</v>
      </c>
      <c r="E191" s="1" t="s">
        <v>32</v>
      </c>
      <c r="F191" s="4">
        <v>10917.92</v>
      </c>
      <c r="G191" s="1" t="s">
        <v>42</v>
      </c>
      <c r="H191" s="2">
        <v>45973</v>
      </c>
      <c r="I191" s="1">
        <v>11</v>
      </c>
      <c r="J191" s="1" t="s">
        <v>34</v>
      </c>
      <c r="K191" s="1" t="str">
        <f>_xlfn.TEXTBEFORE(tbl_SaaS_Audit[[#This Row],[region]],"-")</f>
        <v>APAC</v>
      </c>
      <c r="L191" s="8" t="str">
        <f>_xlfn.TEXTAFTER(tbl_SaaS_Audit[[#This Row],[region]],"-")</f>
        <v>SGP</v>
      </c>
      <c r="M191" s="8">
        <f t="shared" si="2"/>
        <v>32</v>
      </c>
      <c r="N191" s="4">
        <f>tbl_SaaS_Audit[[#This Row],[Tenure_Months]]*tbl_SaaS_Audit[[#This Row],[Monthly_Revenue]]</f>
        <v>349373.44</v>
      </c>
      <c r="O191" s="3" t="str" cm="1">
        <f t="array" ref="O19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91" s="4" cm="1">
        <f t="array" ref="P191">_xlfn.IFS(tbl_SaaS_Audit[[#This Row],[Risk_Level]]="CRITICAL RISK",tbl_SaaS_Audit[[#This Row],[Monthly_Revenue]]*12,TRUE,0)</f>
        <v>131015.04000000001</v>
      </c>
    </row>
    <row r="192" spans="1:16">
      <c r="A192" s="1">
        <v>191</v>
      </c>
      <c r="B192" s="1" t="s">
        <v>195</v>
      </c>
      <c r="C192" s="1" t="s">
        <v>14</v>
      </c>
      <c r="D192" s="2">
        <v>45316</v>
      </c>
      <c r="E192" s="1" t="s">
        <v>41</v>
      </c>
      <c r="F192" s="4">
        <v>3589.16</v>
      </c>
      <c r="G192" s="1" t="s">
        <v>42</v>
      </c>
      <c r="H192" s="2">
        <v>45869</v>
      </c>
      <c r="I192" s="1">
        <v>9</v>
      </c>
      <c r="J192" s="1" t="s">
        <v>51</v>
      </c>
      <c r="K192" s="1" t="str">
        <f>_xlfn.TEXTBEFORE(tbl_SaaS_Audit[[#This Row],[region]],"-")</f>
        <v>NA</v>
      </c>
      <c r="L192" s="8" t="str">
        <f>_xlfn.TEXTAFTER(tbl_SaaS_Audit[[#This Row],[region]],"-")</f>
        <v>EAST</v>
      </c>
      <c r="M192" s="8">
        <f t="shared" si="2"/>
        <v>32</v>
      </c>
      <c r="N192" s="4">
        <f>tbl_SaaS_Audit[[#This Row],[Tenure_Months]]*tbl_SaaS_Audit[[#This Row],[Monthly_Revenue]]</f>
        <v>114853.12</v>
      </c>
      <c r="O192" s="3" t="str" cm="1">
        <f t="array" ref="O19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92" s="4" cm="1">
        <f t="array" ref="P192">_xlfn.IFS(tbl_SaaS_Audit[[#This Row],[Risk_Level]]="CRITICAL RISK",tbl_SaaS_Audit[[#This Row],[Monthly_Revenue]]*12,TRUE,0)</f>
        <v>0</v>
      </c>
    </row>
    <row r="193" spans="1:16">
      <c r="A193" s="1">
        <v>192</v>
      </c>
      <c r="B193" s="1" t="s">
        <v>160</v>
      </c>
      <c r="C193" s="1" t="s">
        <v>13</v>
      </c>
      <c r="D193" s="2">
        <v>45606</v>
      </c>
      <c r="E193" s="1" t="s">
        <v>39</v>
      </c>
      <c r="F193" s="4">
        <v>6536.71</v>
      </c>
      <c r="G193" s="1" t="s">
        <v>49</v>
      </c>
      <c r="H193" s="2">
        <v>45849</v>
      </c>
      <c r="I193" s="1">
        <v>10</v>
      </c>
      <c r="J193" s="1" t="s">
        <v>51</v>
      </c>
      <c r="K193" s="1" t="str">
        <f>_xlfn.TEXTBEFORE(tbl_SaaS_Audit[[#This Row],[region]],"-")</f>
        <v>NA</v>
      </c>
      <c r="L193" s="8" t="str">
        <f>_xlfn.TEXTAFTER(tbl_SaaS_Audit[[#This Row],[region]],"-")</f>
        <v>EAST</v>
      </c>
      <c r="M193" s="8">
        <f t="shared" si="2"/>
        <v>22</v>
      </c>
      <c r="N193" s="4">
        <f>tbl_SaaS_Audit[[#This Row],[Tenure_Months]]*tbl_SaaS_Audit[[#This Row],[Monthly_Revenue]]</f>
        <v>143807.62</v>
      </c>
      <c r="O193" s="3" t="str" cm="1">
        <f t="array" ref="O19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93" s="4" cm="1">
        <f t="array" ref="P193">_xlfn.IFS(tbl_SaaS_Audit[[#This Row],[Risk_Level]]="CRITICAL RISK",tbl_SaaS_Audit[[#This Row],[Monthly_Revenue]]*12,TRUE,0)</f>
        <v>0</v>
      </c>
    </row>
    <row r="194" spans="1:16">
      <c r="A194" s="1">
        <v>193</v>
      </c>
      <c r="B194" s="1" t="s">
        <v>196</v>
      </c>
      <c r="C194" s="1" t="s">
        <v>14</v>
      </c>
      <c r="D194" s="2">
        <v>45500</v>
      </c>
      <c r="E194" s="1" t="s">
        <v>39</v>
      </c>
      <c r="F194" s="4">
        <v>2089.9299999999998</v>
      </c>
      <c r="G194" s="1" t="s">
        <v>36</v>
      </c>
      <c r="H194" s="2">
        <v>46174</v>
      </c>
      <c r="I194" s="1">
        <v>0</v>
      </c>
      <c r="J194" s="1" t="s">
        <v>51</v>
      </c>
      <c r="K194" s="1" t="str">
        <f>_xlfn.TEXTBEFORE(tbl_SaaS_Audit[[#This Row],[region]],"-")</f>
        <v>NA</v>
      </c>
      <c r="L194" s="8" t="str">
        <f>_xlfn.TEXTAFTER(tbl_SaaS_Audit[[#This Row],[region]],"-")</f>
        <v>EAST</v>
      </c>
      <c r="M194" s="8">
        <f t="shared" ref="M194:M257" si="3">MAX(0, IF(AND(G194="Churned", ISNUMBER(H194)), (YEAR(H194)-YEAR(D194))*12 + (MONTH(H194)-MONTH(D194)), (YEAR(DATE(2026,9,1))-YEAR(D194))*12 + (MONTH(DATE(2026,9,1))-MONTH(D194))))</f>
        <v>26</v>
      </c>
      <c r="N194" s="4">
        <f>tbl_SaaS_Audit[[#This Row],[Tenure_Months]]*tbl_SaaS_Audit[[#This Row],[Monthly_Revenue]]</f>
        <v>54338.179999999993</v>
      </c>
      <c r="O194" s="3" t="str" cm="1">
        <f t="array" ref="O19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94" s="4" cm="1">
        <f t="array" ref="P194">_xlfn.IFS(tbl_SaaS_Audit[[#This Row],[Risk_Level]]="CRITICAL RISK",tbl_SaaS_Audit[[#This Row],[Monthly_Revenue]]*12,TRUE,0)</f>
        <v>0</v>
      </c>
    </row>
    <row r="195" spans="1:16">
      <c r="A195" s="1">
        <v>194</v>
      </c>
      <c r="B195" s="1" t="s">
        <v>121</v>
      </c>
      <c r="C195" s="1" t="s">
        <v>13</v>
      </c>
      <c r="D195" s="2">
        <v>45705</v>
      </c>
      <c r="E195" s="1" t="s">
        <v>39</v>
      </c>
      <c r="F195" s="4">
        <v>14876.47</v>
      </c>
      <c r="G195" s="1" t="s">
        <v>33</v>
      </c>
      <c r="H195" s="2">
        <v>46004</v>
      </c>
      <c r="I195" s="1">
        <v>7</v>
      </c>
      <c r="J195" s="1" t="s">
        <v>45</v>
      </c>
      <c r="K195" s="1" t="str">
        <f>_xlfn.TEXTBEFORE(tbl_SaaS_Audit[[#This Row],[region]],"-")</f>
        <v>EU</v>
      </c>
      <c r="L195" s="8" t="str">
        <f>_xlfn.TEXTAFTER(tbl_SaaS_Audit[[#This Row],[region]],"-")</f>
        <v>CENTRAL</v>
      </c>
      <c r="M195" s="8">
        <f t="shared" si="3"/>
        <v>10</v>
      </c>
      <c r="N195" s="4">
        <f>tbl_SaaS_Audit[[#This Row],[Tenure_Months]]*tbl_SaaS_Audit[[#This Row],[Monthly_Revenue]]</f>
        <v>148764.69999999998</v>
      </c>
      <c r="O195" s="3" t="str" cm="1">
        <f t="array" ref="O19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95" s="4" cm="1">
        <f t="array" ref="P195">_xlfn.IFS(tbl_SaaS_Audit[[#This Row],[Risk_Level]]="CRITICAL RISK",tbl_SaaS_Audit[[#This Row],[Monthly_Revenue]]*12,TRUE,0)</f>
        <v>0</v>
      </c>
    </row>
    <row r="196" spans="1:16">
      <c r="A196" s="1">
        <v>195</v>
      </c>
      <c r="B196" s="1" t="s">
        <v>197</v>
      </c>
      <c r="C196" s="1" t="s">
        <v>11</v>
      </c>
      <c r="D196" s="2">
        <v>45819</v>
      </c>
      <c r="E196" s="1" t="s">
        <v>41</v>
      </c>
      <c r="F196" s="4">
        <v>13359.93</v>
      </c>
      <c r="G196" s="1" t="s">
        <v>42</v>
      </c>
      <c r="H196" s="2">
        <v>46001</v>
      </c>
      <c r="I196" s="1">
        <v>15</v>
      </c>
      <c r="J196" s="1" t="s">
        <v>34</v>
      </c>
      <c r="K196" s="1" t="str">
        <f>_xlfn.TEXTBEFORE(tbl_SaaS_Audit[[#This Row],[region]],"-")</f>
        <v>APAC</v>
      </c>
      <c r="L196" s="8" t="str">
        <f>_xlfn.TEXTAFTER(tbl_SaaS_Audit[[#This Row],[region]],"-")</f>
        <v>SGP</v>
      </c>
      <c r="M196" s="8">
        <f t="shared" si="3"/>
        <v>15</v>
      </c>
      <c r="N196" s="4">
        <f>tbl_SaaS_Audit[[#This Row],[Tenure_Months]]*tbl_SaaS_Audit[[#This Row],[Monthly_Revenue]]</f>
        <v>200398.95</v>
      </c>
      <c r="O196" s="3" t="str" cm="1">
        <f t="array" ref="O19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96" s="4" cm="1">
        <f t="array" ref="P196">_xlfn.IFS(tbl_SaaS_Audit[[#This Row],[Risk_Level]]="CRITICAL RISK",tbl_SaaS_Audit[[#This Row],[Monthly_Revenue]]*12,TRUE,0)</f>
        <v>160319.16</v>
      </c>
    </row>
    <row r="197" spans="1:16">
      <c r="A197" s="1">
        <v>196</v>
      </c>
      <c r="B197" s="1" t="s">
        <v>198</v>
      </c>
      <c r="C197" s="1" t="s">
        <v>15</v>
      </c>
      <c r="D197" s="2">
        <v>45585</v>
      </c>
      <c r="E197" s="1" t="s">
        <v>32</v>
      </c>
      <c r="F197" s="4">
        <v>2200.46</v>
      </c>
      <c r="G197" s="1" t="s">
        <v>42</v>
      </c>
      <c r="H197" s="1"/>
      <c r="I197" s="1">
        <v>17</v>
      </c>
      <c r="J197" s="1" t="s">
        <v>34</v>
      </c>
      <c r="K197" s="1" t="str">
        <f>_xlfn.TEXTBEFORE(tbl_SaaS_Audit[[#This Row],[region]],"-")</f>
        <v>APAC</v>
      </c>
      <c r="L197" s="8" t="str">
        <f>_xlfn.TEXTAFTER(tbl_SaaS_Audit[[#This Row],[region]],"-")</f>
        <v>SGP</v>
      </c>
      <c r="M197" s="8">
        <f t="shared" si="3"/>
        <v>23</v>
      </c>
      <c r="N197" s="4">
        <f>tbl_SaaS_Audit[[#This Row],[Tenure_Months]]*tbl_SaaS_Audit[[#This Row],[Monthly_Revenue]]</f>
        <v>50610.58</v>
      </c>
      <c r="O197" s="3" t="str" cm="1">
        <f t="array" ref="O19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197" s="4" cm="1">
        <f t="array" ref="P197">_xlfn.IFS(tbl_SaaS_Audit[[#This Row],[Risk_Level]]="CRITICAL RISK",tbl_SaaS_Audit[[#This Row],[Monthly_Revenue]]*12,TRUE,0)</f>
        <v>26405.52</v>
      </c>
    </row>
    <row r="198" spans="1:16">
      <c r="A198" s="1">
        <v>197</v>
      </c>
      <c r="B198" s="1" t="s">
        <v>135</v>
      </c>
      <c r="C198" s="1" t="s">
        <v>14</v>
      </c>
      <c r="D198" s="2">
        <v>45316</v>
      </c>
      <c r="E198" s="1" t="s">
        <v>32</v>
      </c>
      <c r="F198" s="4">
        <v>1206.05</v>
      </c>
      <c r="G198" s="1" t="s">
        <v>49</v>
      </c>
      <c r="H198" s="2">
        <v>45990</v>
      </c>
      <c r="I198" s="1">
        <v>12</v>
      </c>
      <c r="J198" s="1" t="s">
        <v>37</v>
      </c>
      <c r="K198" s="1" t="str">
        <f>_xlfn.TEXTBEFORE(tbl_SaaS_Audit[[#This Row],[region]],"-")</f>
        <v>MEA</v>
      </c>
      <c r="L198" s="8" t="str">
        <f>_xlfn.TEXTAFTER(tbl_SaaS_Audit[[#This Row],[region]],"-")</f>
        <v>EGY</v>
      </c>
      <c r="M198" s="8">
        <f t="shared" si="3"/>
        <v>32</v>
      </c>
      <c r="N198" s="4">
        <f>tbl_SaaS_Audit[[#This Row],[Tenure_Months]]*tbl_SaaS_Audit[[#This Row],[Monthly_Revenue]]</f>
        <v>38593.599999999999</v>
      </c>
      <c r="O198" s="3" t="str" cm="1">
        <f t="array" ref="O19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198" s="4" cm="1">
        <f t="array" ref="P198">_xlfn.IFS(tbl_SaaS_Audit[[#This Row],[Risk_Level]]="CRITICAL RISK",tbl_SaaS_Audit[[#This Row],[Monthly_Revenue]]*12,TRUE,0)</f>
        <v>0</v>
      </c>
    </row>
    <row r="199" spans="1:16">
      <c r="A199" s="1">
        <v>198</v>
      </c>
      <c r="B199" s="1" t="s">
        <v>199</v>
      </c>
      <c r="C199" s="1" t="s">
        <v>15</v>
      </c>
      <c r="D199" s="2">
        <v>45765</v>
      </c>
      <c r="E199" s="1" t="s">
        <v>39</v>
      </c>
      <c r="F199" s="4">
        <v>14597.21</v>
      </c>
      <c r="G199" s="1" t="s">
        <v>42</v>
      </c>
      <c r="H199" s="1"/>
      <c r="I199" s="1">
        <v>3</v>
      </c>
      <c r="J199" s="1" t="s">
        <v>51</v>
      </c>
      <c r="K199" s="1" t="str">
        <f>_xlfn.TEXTBEFORE(tbl_SaaS_Audit[[#This Row],[region]],"-")</f>
        <v>NA</v>
      </c>
      <c r="L199" s="8" t="str">
        <f>_xlfn.TEXTAFTER(tbl_SaaS_Audit[[#This Row],[region]],"-")</f>
        <v>EAST</v>
      </c>
      <c r="M199" s="8">
        <f t="shared" si="3"/>
        <v>17</v>
      </c>
      <c r="N199" s="4">
        <f>tbl_SaaS_Audit[[#This Row],[Tenure_Months]]*tbl_SaaS_Audit[[#This Row],[Monthly_Revenue]]</f>
        <v>248152.56999999998</v>
      </c>
      <c r="O199" s="3" t="str" cm="1">
        <f t="array" ref="O19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199" s="4" cm="1">
        <f t="array" ref="P199">_xlfn.IFS(tbl_SaaS_Audit[[#This Row],[Risk_Level]]="CRITICAL RISK",tbl_SaaS_Audit[[#This Row],[Monthly_Revenue]]*12,TRUE,0)</f>
        <v>0</v>
      </c>
    </row>
    <row r="200" spans="1:16">
      <c r="A200" s="1">
        <v>199</v>
      </c>
      <c r="B200" s="1" t="s">
        <v>200</v>
      </c>
      <c r="C200" s="1" t="s">
        <v>13</v>
      </c>
      <c r="D200" s="2">
        <v>45382</v>
      </c>
      <c r="E200" s="1" t="s">
        <v>32</v>
      </c>
      <c r="F200" s="4">
        <v>1784.38</v>
      </c>
      <c r="G200" s="1" t="s">
        <v>33</v>
      </c>
      <c r="H200" s="2">
        <v>45922</v>
      </c>
      <c r="I200" s="1">
        <v>14</v>
      </c>
      <c r="J200" s="1" t="s">
        <v>51</v>
      </c>
      <c r="K200" s="1" t="str">
        <f>_xlfn.TEXTBEFORE(tbl_SaaS_Audit[[#This Row],[region]],"-")</f>
        <v>NA</v>
      </c>
      <c r="L200" s="8" t="str">
        <f>_xlfn.TEXTAFTER(tbl_SaaS_Audit[[#This Row],[region]],"-")</f>
        <v>EAST</v>
      </c>
      <c r="M200" s="8">
        <f t="shared" si="3"/>
        <v>18</v>
      </c>
      <c r="N200" s="4">
        <f>tbl_SaaS_Audit[[#This Row],[Tenure_Months]]*tbl_SaaS_Audit[[#This Row],[Monthly_Revenue]]</f>
        <v>32118.840000000004</v>
      </c>
      <c r="O200" s="3" t="str" cm="1">
        <f t="array" ref="O20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0" s="4" cm="1">
        <f t="array" ref="P200">_xlfn.IFS(tbl_SaaS_Audit[[#This Row],[Risk_Level]]="CRITICAL RISK",tbl_SaaS_Audit[[#This Row],[Monthly_Revenue]]*12,TRUE,0)</f>
        <v>0</v>
      </c>
    </row>
    <row r="201" spans="1:16">
      <c r="A201" s="1">
        <v>200</v>
      </c>
      <c r="B201" s="1" t="s">
        <v>160</v>
      </c>
      <c r="C201" s="1" t="s">
        <v>11</v>
      </c>
      <c r="D201" s="2">
        <v>45731</v>
      </c>
      <c r="E201" s="1" t="s">
        <v>41</v>
      </c>
      <c r="F201" s="4">
        <v>6967.75</v>
      </c>
      <c r="G201" s="1" t="s">
        <v>42</v>
      </c>
      <c r="H201" s="2">
        <v>46008</v>
      </c>
      <c r="I201" s="1">
        <v>3</v>
      </c>
      <c r="J201" s="1" t="s">
        <v>51</v>
      </c>
      <c r="K201" s="1" t="str">
        <f>_xlfn.TEXTBEFORE(tbl_SaaS_Audit[[#This Row],[region]],"-")</f>
        <v>NA</v>
      </c>
      <c r="L201" s="8" t="str">
        <f>_xlfn.TEXTAFTER(tbl_SaaS_Audit[[#This Row],[region]],"-")</f>
        <v>EAST</v>
      </c>
      <c r="M201" s="8">
        <f t="shared" si="3"/>
        <v>18</v>
      </c>
      <c r="N201" s="4">
        <f>tbl_SaaS_Audit[[#This Row],[Tenure_Months]]*tbl_SaaS_Audit[[#This Row],[Monthly_Revenue]]</f>
        <v>125419.5</v>
      </c>
      <c r="O201" s="3" t="str" cm="1">
        <f t="array" ref="O20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1" s="4" cm="1">
        <f t="array" ref="P201">_xlfn.IFS(tbl_SaaS_Audit[[#This Row],[Risk_Level]]="CRITICAL RISK",tbl_SaaS_Audit[[#This Row],[Monthly_Revenue]]*12,TRUE,0)</f>
        <v>0</v>
      </c>
    </row>
    <row r="202" spans="1:16">
      <c r="A202" s="1">
        <v>201</v>
      </c>
      <c r="B202" s="1" t="s">
        <v>193</v>
      </c>
      <c r="C202" s="1" t="s">
        <v>14</v>
      </c>
      <c r="D202" s="2">
        <v>45376</v>
      </c>
      <c r="E202" s="1" t="s">
        <v>39</v>
      </c>
      <c r="F202" s="4">
        <v>5363.65</v>
      </c>
      <c r="G202" s="1" t="s">
        <v>36</v>
      </c>
      <c r="H202" s="2">
        <v>46251</v>
      </c>
      <c r="I202" s="1">
        <v>5</v>
      </c>
      <c r="J202" s="1" t="s">
        <v>47</v>
      </c>
      <c r="K202" s="1" t="str">
        <f>_xlfn.TEXTBEFORE(tbl_SaaS_Audit[[#This Row],[region]],"-")</f>
        <v>NA</v>
      </c>
      <c r="L202" s="8" t="str">
        <f>_xlfn.TEXTAFTER(tbl_SaaS_Audit[[#This Row],[region]],"-")</f>
        <v>WEST</v>
      </c>
      <c r="M202" s="8">
        <f t="shared" si="3"/>
        <v>30</v>
      </c>
      <c r="N202" s="4">
        <f>tbl_SaaS_Audit[[#This Row],[Tenure_Months]]*tbl_SaaS_Audit[[#This Row],[Monthly_Revenue]]</f>
        <v>160909.5</v>
      </c>
      <c r="O202" s="3" t="str" cm="1">
        <f t="array" ref="O20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02" s="4" cm="1">
        <f t="array" ref="P202">_xlfn.IFS(tbl_SaaS_Audit[[#This Row],[Risk_Level]]="CRITICAL RISK",tbl_SaaS_Audit[[#This Row],[Monthly_Revenue]]*12,TRUE,0)</f>
        <v>0</v>
      </c>
    </row>
    <row r="203" spans="1:16">
      <c r="A203" s="1">
        <v>202</v>
      </c>
      <c r="B203" s="1" t="s">
        <v>132</v>
      </c>
      <c r="C203" s="1" t="s">
        <v>14</v>
      </c>
      <c r="D203" s="2">
        <v>45474</v>
      </c>
      <c r="E203" s="1" t="s">
        <v>39</v>
      </c>
      <c r="F203" s="4">
        <v>3692.98</v>
      </c>
      <c r="G203" s="1" t="s">
        <v>33</v>
      </c>
      <c r="H203" s="2">
        <v>46207</v>
      </c>
      <c r="I203" s="1">
        <v>14</v>
      </c>
      <c r="J203" s="1" t="s">
        <v>51</v>
      </c>
      <c r="K203" s="1" t="str">
        <f>_xlfn.TEXTBEFORE(tbl_SaaS_Audit[[#This Row],[region]],"-")</f>
        <v>NA</v>
      </c>
      <c r="L203" s="8" t="str">
        <f>_xlfn.TEXTAFTER(tbl_SaaS_Audit[[#This Row],[region]],"-")</f>
        <v>EAST</v>
      </c>
      <c r="M203" s="8">
        <f t="shared" si="3"/>
        <v>24</v>
      </c>
      <c r="N203" s="4">
        <f>tbl_SaaS_Audit[[#This Row],[Tenure_Months]]*tbl_SaaS_Audit[[#This Row],[Monthly_Revenue]]</f>
        <v>88631.52</v>
      </c>
      <c r="O203" s="3" t="str" cm="1">
        <f t="array" ref="O20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3" s="4" cm="1">
        <f t="array" ref="P203">_xlfn.IFS(tbl_SaaS_Audit[[#This Row],[Risk_Level]]="CRITICAL RISK",tbl_SaaS_Audit[[#This Row],[Monthly_Revenue]]*12,TRUE,0)</f>
        <v>0</v>
      </c>
    </row>
    <row r="204" spans="1:16">
      <c r="A204" s="1">
        <v>203</v>
      </c>
      <c r="B204" s="1" t="s">
        <v>201</v>
      </c>
      <c r="C204" s="1" t="s">
        <v>13</v>
      </c>
      <c r="D204" s="2">
        <v>45790</v>
      </c>
      <c r="E204" s="1" t="s">
        <v>32</v>
      </c>
      <c r="F204" s="4">
        <v>7820.83</v>
      </c>
      <c r="G204" s="1" t="s">
        <v>36</v>
      </c>
      <c r="H204" s="2">
        <v>46021</v>
      </c>
      <c r="I204" s="1">
        <v>14</v>
      </c>
      <c r="J204" s="1" t="s">
        <v>47</v>
      </c>
      <c r="K204" s="1" t="str">
        <f>_xlfn.TEXTBEFORE(tbl_SaaS_Audit[[#This Row],[region]],"-")</f>
        <v>NA</v>
      </c>
      <c r="L204" s="8" t="str">
        <f>_xlfn.TEXTAFTER(tbl_SaaS_Audit[[#This Row],[region]],"-")</f>
        <v>WEST</v>
      </c>
      <c r="M204" s="8">
        <f t="shared" si="3"/>
        <v>16</v>
      </c>
      <c r="N204" s="4">
        <f>tbl_SaaS_Audit[[#This Row],[Tenure_Months]]*tbl_SaaS_Audit[[#This Row],[Monthly_Revenue]]</f>
        <v>125133.28</v>
      </c>
      <c r="O204" s="3" t="str" cm="1">
        <f t="array" ref="O20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4" s="4" cm="1">
        <f t="array" ref="P204">_xlfn.IFS(tbl_SaaS_Audit[[#This Row],[Risk_Level]]="CRITICAL RISK",tbl_SaaS_Audit[[#This Row],[Monthly_Revenue]]*12,TRUE,0)</f>
        <v>0</v>
      </c>
    </row>
    <row r="205" spans="1:16">
      <c r="A205" s="1">
        <v>204</v>
      </c>
      <c r="B205" s="1" t="s">
        <v>202</v>
      </c>
      <c r="C205" s="1" t="s">
        <v>14</v>
      </c>
      <c r="D205" s="2">
        <v>45351</v>
      </c>
      <c r="E205" s="1" t="s">
        <v>39</v>
      </c>
      <c r="F205" s="4">
        <v>2601.86</v>
      </c>
      <c r="G205" s="1" t="s">
        <v>36</v>
      </c>
      <c r="H205" s="2">
        <v>46120</v>
      </c>
      <c r="I205" s="1">
        <v>18</v>
      </c>
      <c r="J205" s="1" t="s">
        <v>37</v>
      </c>
      <c r="K205" s="1" t="str">
        <f>_xlfn.TEXTBEFORE(tbl_SaaS_Audit[[#This Row],[region]],"-")</f>
        <v>MEA</v>
      </c>
      <c r="L205" s="8" t="str">
        <f>_xlfn.TEXTAFTER(tbl_SaaS_Audit[[#This Row],[region]],"-")</f>
        <v>EGY</v>
      </c>
      <c r="M205" s="8">
        <f t="shared" si="3"/>
        <v>31</v>
      </c>
      <c r="N205" s="4">
        <f>tbl_SaaS_Audit[[#This Row],[Tenure_Months]]*tbl_SaaS_Audit[[#This Row],[Monthly_Revenue]]</f>
        <v>80657.66</v>
      </c>
      <c r="O205" s="3" t="str" cm="1">
        <f t="array" ref="O20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5" s="4" cm="1">
        <f t="array" ref="P205">_xlfn.IFS(tbl_SaaS_Audit[[#This Row],[Risk_Level]]="CRITICAL RISK",tbl_SaaS_Audit[[#This Row],[Monthly_Revenue]]*12,TRUE,0)</f>
        <v>0</v>
      </c>
    </row>
    <row r="206" spans="1:16">
      <c r="A206" s="1">
        <v>205</v>
      </c>
      <c r="B206" s="1" t="s">
        <v>203</v>
      </c>
      <c r="C206" s="1" t="s">
        <v>11</v>
      </c>
      <c r="D206" s="2">
        <v>45385</v>
      </c>
      <c r="E206" s="1" t="s">
        <v>32</v>
      </c>
      <c r="F206" s="4">
        <v>8155.67</v>
      </c>
      <c r="G206" s="1" t="s">
        <v>36</v>
      </c>
      <c r="H206" s="1"/>
      <c r="I206" s="1">
        <v>0</v>
      </c>
      <c r="J206" s="1" t="s">
        <v>47</v>
      </c>
      <c r="K206" s="1" t="str">
        <f>_xlfn.TEXTBEFORE(tbl_SaaS_Audit[[#This Row],[region]],"-")</f>
        <v>NA</v>
      </c>
      <c r="L206" s="8" t="str">
        <f>_xlfn.TEXTAFTER(tbl_SaaS_Audit[[#This Row],[region]],"-")</f>
        <v>WEST</v>
      </c>
      <c r="M206" s="8">
        <f t="shared" si="3"/>
        <v>29</v>
      </c>
      <c r="N206" s="4">
        <f>tbl_SaaS_Audit[[#This Row],[Tenure_Months]]*tbl_SaaS_Audit[[#This Row],[Monthly_Revenue]]</f>
        <v>236514.43</v>
      </c>
      <c r="O206" s="3" t="str" cm="1">
        <f t="array" ref="O20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6" s="4" cm="1">
        <f t="array" ref="P206">_xlfn.IFS(tbl_SaaS_Audit[[#This Row],[Risk_Level]]="CRITICAL RISK",tbl_SaaS_Audit[[#This Row],[Monthly_Revenue]]*12,TRUE,0)</f>
        <v>0</v>
      </c>
    </row>
    <row r="207" spans="1:16">
      <c r="A207" s="1">
        <v>206</v>
      </c>
      <c r="B207" s="1" t="s">
        <v>204</v>
      </c>
      <c r="C207" s="1" t="s">
        <v>12</v>
      </c>
      <c r="D207" s="2">
        <v>45608</v>
      </c>
      <c r="E207" s="1" t="s">
        <v>32</v>
      </c>
      <c r="F207" s="4">
        <v>14579.16</v>
      </c>
      <c r="G207" s="1" t="s">
        <v>49</v>
      </c>
      <c r="H207" s="2">
        <v>46053</v>
      </c>
      <c r="I207" s="1">
        <v>17</v>
      </c>
      <c r="J207" s="1" t="s">
        <v>45</v>
      </c>
      <c r="K207" s="1" t="str">
        <f>_xlfn.TEXTBEFORE(tbl_SaaS_Audit[[#This Row],[region]],"-")</f>
        <v>EU</v>
      </c>
      <c r="L207" s="8" t="str">
        <f>_xlfn.TEXTAFTER(tbl_SaaS_Audit[[#This Row],[region]],"-")</f>
        <v>CENTRAL</v>
      </c>
      <c r="M207" s="8">
        <f t="shared" si="3"/>
        <v>22</v>
      </c>
      <c r="N207" s="4">
        <f>tbl_SaaS_Audit[[#This Row],[Tenure_Months]]*tbl_SaaS_Audit[[#This Row],[Monthly_Revenue]]</f>
        <v>320741.52</v>
      </c>
      <c r="O207" s="3" t="str" cm="1">
        <f t="array" ref="O20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07" s="4" cm="1">
        <f t="array" ref="P207">_xlfn.IFS(tbl_SaaS_Audit[[#This Row],[Risk_Level]]="CRITICAL RISK",tbl_SaaS_Audit[[#This Row],[Monthly_Revenue]]*12,TRUE,0)</f>
        <v>0</v>
      </c>
    </row>
    <row r="208" spans="1:16">
      <c r="A208" s="1">
        <v>207</v>
      </c>
      <c r="B208" s="1" t="s">
        <v>205</v>
      </c>
      <c r="C208" s="1" t="s">
        <v>12</v>
      </c>
      <c r="D208" s="2">
        <v>45376</v>
      </c>
      <c r="E208" s="1" t="s">
        <v>32</v>
      </c>
      <c r="F208" s="4">
        <v>3094.81</v>
      </c>
      <c r="G208" s="1" t="s">
        <v>36</v>
      </c>
      <c r="H208" s="2">
        <v>45960</v>
      </c>
      <c r="I208" s="1">
        <v>14</v>
      </c>
      <c r="J208" s="1" t="s">
        <v>45</v>
      </c>
      <c r="K208" s="1" t="str">
        <f>_xlfn.TEXTBEFORE(tbl_SaaS_Audit[[#This Row],[region]],"-")</f>
        <v>EU</v>
      </c>
      <c r="L208" s="8" t="str">
        <f>_xlfn.TEXTAFTER(tbl_SaaS_Audit[[#This Row],[region]],"-")</f>
        <v>CENTRAL</v>
      </c>
      <c r="M208" s="8">
        <f t="shared" si="3"/>
        <v>30</v>
      </c>
      <c r="N208" s="4">
        <f>tbl_SaaS_Audit[[#This Row],[Tenure_Months]]*tbl_SaaS_Audit[[#This Row],[Monthly_Revenue]]</f>
        <v>92844.3</v>
      </c>
      <c r="O208" s="3" t="str" cm="1">
        <f t="array" ref="O20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8" s="4" cm="1">
        <f t="array" ref="P208">_xlfn.IFS(tbl_SaaS_Audit[[#This Row],[Risk_Level]]="CRITICAL RISK",tbl_SaaS_Audit[[#This Row],[Monthly_Revenue]]*12,TRUE,0)</f>
        <v>0</v>
      </c>
    </row>
    <row r="209" spans="1:16">
      <c r="A209" s="1">
        <v>208</v>
      </c>
      <c r="B209" s="1" t="s">
        <v>206</v>
      </c>
      <c r="C209" s="1" t="s">
        <v>12</v>
      </c>
      <c r="D209" s="2">
        <v>45735</v>
      </c>
      <c r="E209" s="1" t="s">
        <v>39</v>
      </c>
      <c r="F209" s="4">
        <v>1193.0899999999999</v>
      </c>
      <c r="G209" s="1" t="s">
        <v>33</v>
      </c>
      <c r="H209" s="2">
        <v>45898</v>
      </c>
      <c r="I209" s="1">
        <v>12</v>
      </c>
      <c r="J209" s="1" t="s">
        <v>34</v>
      </c>
      <c r="K209" s="1" t="str">
        <f>_xlfn.TEXTBEFORE(tbl_SaaS_Audit[[#This Row],[region]],"-")</f>
        <v>APAC</v>
      </c>
      <c r="L209" s="8" t="str">
        <f>_xlfn.TEXTAFTER(tbl_SaaS_Audit[[#This Row],[region]],"-")</f>
        <v>SGP</v>
      </c>
      <c r="M209" s="8">
        <f t="shared" si="3"/>
        <v>5</v>
      </c>
      <c r="N209" s="4">
        <f>tbl_SaaS_Audit[[#This Row],[Tenure_Months]]*tbl_SaaS_Audit[[#This Row],[Monthly_Revenue]]</f>
        <v>5965.45</v>
      </c>
      <c r="O209" s="3" t="str" cm="1">
        <f t="array" ref="O20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09" s="4" cm="1">
        <f t="array" ref="P209">_xlfn.IFS(tbl_SaaS_Audit[[#This Row],[Risk_Level]]="CRITICAL RISK",tbl_SaaS_Audit[[#This Row],[Monthly_Revenue]]*12,TRUE,0)</f>
        <v>0</v>
      </c>
    </row>
    <row r="210" spans="1:16">
      <c r="A210" s="1">
        <v>209</v>
      </c>
      <c r="B210" s="1" t="s">
        <v>200</v>
      </c>
      <c r="C210" s="1" t="s">
        <v>11</v>
      </c>
      <c r="D210" s="2">
        <v>45716</v>
      </c>
      <c r="E210" s="1" t="s">
        <v>32</v>
      </c>
      <c r="F210" s="4">
        <v>6506.72</v>
      </c>
      <c r="G210" s="1" t="s">
        <v>42</v>
      </c>
      <c r="H210" s="2">
        <v>45873</v>
      </c>
      <c r="I210" s="1">
        <v>4</v>
      </c>
      <c r="J210" s="1" t="s">
        <v>45</v>
      </c>
      <c r="K210" s="1" t="str">
        <f>_xlfn.TEXTBEFORE(tbl_SaaS_Audit[[#This Row],[region]],"-")</f>
        <v>EU</v>
      </c>
      <c r="L210" s="8" t="str">
        <f>_xlfn.TEXTAFTER(tbl_SaaS_Audit[[#This Row],[region]],"-")</f>
        <v>CENTRAL</v>
      </c>
      <c r="M210" s="8">
        <f t="shared" si="3"/>
        <v>19</v>
      </c>
      <c r="N210" s="4">
        <f>tbl_SaaS_Audit[[#This Row],[Tenure_Months]]*tbl_SaaS_Audit[[#This Row],[Monthly_Revenue]]</f>
        <v>123627.68000000001</v>
      </c>
      <c r="O210" s="3" t="str" cm="1">
        <f t="array" ref="O21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10" s="4" cm="1">
        <f t="array" ref="P210">_xlfn.IFS(tbl_SaaS_Audit[[#This Row],[Risk_Level]]="CRITICAL RISK",tbl_SaaS_Audit[[#This Row],[Monthly_Revenue]]*12,TRUE,0)</f>
        <v>0</v>
      </c>
    </row>
    <row r="211" spans="1:16">
      <c r="A211" s="1">
        <v>210</v>
      </c>
      <c r="B211" s="1" t="s">
        <v>74</v>
      </c>
      <c r="C211" s="1" t="s">
        <v>14</v>
      </c>
      <c r="D211" s="2">
        <v>45455</v>
      </c>
      <c r="E211" s="1" t="s">
        <v>39</v>
      </c>
      <c r="F211" s="4">
        <v>9219.61</v>
      </c>
      <c r="G211" s="1" t="s">
        <v>49</v>
      </c>
      <c r="H211" s="2">
        <v>45869</v>
      </c>
      <c r="I211" s="1">
        <v>18</v>
      </c>
      <c r="J211" s="1" t="s">
        <v>51</v>
      </c>
      <c r="K211" s="1" t="str">
        <f>_xlfn.TEXTBEFORE(tbl_SaaS_Audit[[#This Row],[region]],"-")</f>
        <v>NA</v>
      </c>
      <c r="L211" s="8" t="str">
        <f>_xlfn.TEXTAFTER(tbl_SaaS_Audit[[#This Row],[region]],"-")</f>
        <v>EAST</v>
      </c>
      <c r="M211" s="8">
        <f t="shared" si="3"/>
        <v>27</v>
      </c>
      <c r="N211" s="4">
        <f>tbl_SaaS_Audit[[#This Row],[Tenure_Months]]*tbl_SaaS_Audit[[#This Row],[Monthly_Revenue]]</f>
        <v>248929.47000000003</v>
      </c>
      <c r="O211" s="3" t="str" cm="1">
        <f t="array" ref="O21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11" s="4" cm="1">
        <f t="array" ref="P211">_xlfn.IFS(tbl_SaaS_Audit[[#This Row],[Risk_Level]]="CRITICAL RISK",tbl_SaaS_Audit[[#This Row],[Monthly_Revenue]]*12,TRUE,0)</f>
        <v>0</v>
      </c>
    </row>
    <row r="212" spans="1:16">
      <c r="A212" s="1">
        <v>211</v>
      </c>
      <c r="B212" s="1" t="s">
        <v>207</v>
      </c>
      <c r="C212" s="1" t="s">
        <v>15</v>
      </c>
      <c r="D212" s="2">
        <v>45464</v>
      </c>
      <c r="E212" s="1" t="s">
        <v>41</v>
      </c>
      <c r="F212" s="4">
        <v>2413.71</v>
      </c>
      <c r="G212" s="1" t="s">
        <v>42</v>
      </c>
      <c r="H212" s="2">
        <v>46207</v>
      </c>
      <c r="I212" s="1">
        <v>1</v>
      </c>
      <c r="J212" s="1" t="s">
        <v>51</v>
      </c>
      <c r="K212" s="1" t="str">
        <f>_xlfn.TEXTBEFORE(tbl_SaaS_Audit[[#This Row],[region]],"-")</f>
        <v>NA</v>
      </c>
      <c r="L212" s="8" t="str">
        <f>_xlfn.TEXTAFTER(tbl_SaaS_Audit[[#This Row],[region]],"-")</f>
        <v>EAST</v>
      </c>
      <c r="M212" s="8">
        <f t="shared" si="3"/>
        <v>27</v>
      </c>
      <c r="N212" s="4">
        <f>tbl_SaaS_Audit[[#This Row],[Tenure_Months]]*tbl_SaaS_Audit[[#This Row],[Monthly_Revenue]]</f>
        <v>65170.17</v>
      </c>
      <c r="O212" s="3" t="str" cm="1">
        <f t="array" ref="O21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12" s="4" cm="1">
        <f t="array" ref="P212">_xlfn.IFS(tbl_SaaS_Audit[[#This Row],[Risk_Level]]="CRITICAL RISK",tbl_SaaS_Audit[[#This Row],[Monthly_Revenue]]*12,TRUE,0)</f>
        <v>0</v>
      </c>
    </row>
    <row r="213" spans="1:16">
      <c r="A213" s="1">
        <v>212</v>
      </c>
      <c r="B213" s="1" t="s">
        <v>174</v>
      </c>
      <c r="C213" s="1" t="s">
        <v>14</v>
      </c>
      <c r="D213" s="2">
        <v>45417</v>
      </c>
      <c r="E213" s="1" t="s">
        <v>41</v>
      </c>
      <c r="F213" s="4">
        <v>8774.94</v>
      </c>
      <c r="G213" s="1" t="s">
        <v>49</v>
      </c>
      <c r="H213" s="2">
        <v>46178</v>
      </c>
      <c r="I213" s="1">
        <v>16</v>
      </c>
      <c r="J213" s="1" t="s">
        <v>45</v>
      </c>
      <c r="K213" s="1" t="str">
        <f>_xlfn.TEXTBEFORE(tbl_SaaS_Audit[[#This Row],[region]],"-")</f>
        <v>EU</v>
      </c>
      <c r="L213" s="8" t="str">
        <f>_xlfn.TEXTAFTER(tbl_SaaS_Audit[[#This Row],[region]],"-")</f>
        <v>CENTRAL</v>
      </c>
      <c r="M213" s="8">
        <f t="shared" si="3"/>
        <v>28</v>
      </c>
      <c r="N213" s="4">
        <f>tbl_SaaS_Audit[[#This Row],[Tenure_Months]]*tbl_SaaS_Audit[[#This Row],[Monthly_Revenue]]</f>
        <v>245698.32</v>
      </c>
      <c r="O213" s="3" t="str" cm="1">
        <f t="array" ref="O21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13" s="4" cm="1">
        <f t="array" ref="P213">_xlfn.IFS(tbl_SaaS_Audit[[#This Row],[Risk_Level]]="CRITICAL RISK",tbl_SaaS_Audit[[#This Row],[Monthly_Revenue]]*12,TRUE,0)</f>
        <v>0</v>
      </c>
    </row>
    <row r="214" spans="1:16">
      <c r="A214" s="1">
        <v>213</v>
      </c>
      <c r="B214" s="1" t="s">
        <v>189</v>
      </c>
      <c r="C214" s="1" t="s">
        <v>13</v>
      </c>
      <c r="D214" s="2">
        <v>45349</v>
      </c>
      <c r="E214" s="1" t="s">
        <v>39</v>
      </c>
      <c r="F214" s="4">
        <v>7935.24</v>
      </c>
      <c r="G214" s="1" t="s">
        <v>42</v>
      </c>
      <c r="H214" s="2">
        <v>46094</v>
      </c>
      <c r="I214" s="1">
        <v>12</v>
      </c>
      <c r="J214" s="1" t="s">
        <v>37</v>
      </c>
      <c r="K214" s="1" t="str">
        <f>_xlfn.TEXTBEFORE(tbl_SaaS_Audit[[#This Row],[region]],"-")</f>
        <v>MEA</v>
      </c>
      <c r="L214" s="8" t="str">
        <f>_xlfn.TEXTAFTER(tbl_SaaS_Audit[[#This Row],[region]],"-")</f>
        <v>EGY</v>
      </c>
      <c r="M214" s="8">
        <f t="shared" si="3"/>
        <v>31</v>
      </c>
      <c r="N214" s="4">
        <f>tbl_SaaS_Audit[[#This Row],[Tenure_Months]]*tbl_SaaS_Audit[[#This Row],[Monthly_Revenue]]</f>
        <v>245992.44</v>
      </c>
      <c r="O214" s="3" t="str" cm="1">
        <f t="array" ref="O21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14" s="4" cm="1">
        <f t="array" ref="P214">_xlfn.IFS(tbl_SaaS_Audit[[#This Row],[Risk_Level]]="CRITICAL RISK",tbl_SaaS_Audit[[#This Row],[Monthly_Revenue]]*12,TRUE,0)</f>
        <v>95222.88</v>
      </c>
    </row>
    <row r="215" spans="1:16">
      <c r="A215" s="1">
        <v>214</v>
      </c>
      <c r="B215" s="1" t="s">
        <v>208</v>
      </c>
      <c r="C215" s="1" t="s">
        <v>11</v>
      </c>
      <c r="D215" s="2">
        <v>45437</v>
      </c>
      <c r="E215" s="1" t="s">
        <v>41</v>
      </c>
      <c r="F215" s="4">
        <v>14099.18</v>
      </c>
      <c r="G215" s="1" t="s">
        <v>36</v>
      </c>
      <c r="H215" s="2">
        <v>46169</v>
      </c>
      <c r="I215" s="1">
        <v>3</v>
      </c>
      <c r="J215" s="1" t="s">
        <v>51</v>
      </c>
      <c r="K215" s="1" t="str">
        <f>_xlfn.TEXTBEFORE(tbl_SaaS_Audit[[#This Row],[region]],"-")</f>
        <v>NA</v>
      </c>
      <c r="L215" s="8" t="str">
        <f>_xlfn.TEXTAFTER(tbl_SaaS_Audit[[#This Row],[region]],"-")</f>
        <v>EAST</v>
      </c>
      <c r="M215" s="8">
        <f t="shared" si="3"/>
        <v>28</v>
      </c>
      <c r="N215" s="4">
        <f>tbl_SaaS_Audit[[#This Row],[Tenure_Months]]*tbl_SaaS_Audit[[#This Row],[Monthly_Revenue]]</f>
        <v>394777.04000000004</v>
      </c>
      <c r="O215" s="3" t="str" cm="1">
        <f t="array" ref="O21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15" s="4" cm="1">
        <f t="array" ref="P215">_xlfn.IFS(tbl_SaaS_Audit[[#This Row],[Risk_Level]]="CRITICAL RISK",tbl_SaaS_Audit[[#This Row],[Monthly_Revenue]]*12,TRUE,0)</f>
        <v>0</v>
      </c>
    </row>
    <row r="216" spans="1:16">
      <c r="A216" s="1">
        <v>215</v>
      </c>
      <c r="B216" s="1" t="s">
        <v>209</v>
      </c>
      <c r="C216" s="1" t="s">
        <v>11</v>
      </c>
      <c r="D216" s="2">
        <v>45566</v>
      </c>
      <c r="E216" s="1" t="s">
        <v>32</v>
      </c>
      <c r="F216" s="4">
        <v>9234.69</v>
      </c>
      <c r="G216" s="1" t="s">
        <v>33</v>
      </c>
      <c r="H216" s="2">
        <v>46228</v>
      </c>
      <c r="I216" s="1">
        <v>8</v>
      </c>
      <c r="J216" s="1" t="s">
        <v>51</v>
      </c>
      <c r="K216" s="1" t="str">
        <f>_xlfn.TEXTBEFORE(tbl_SaaS_Audit[[#This Row],[region]],"-")</f>
        <v>NA</v>
      </c>
      <c r="L216" s="8" t="str">
        <f>_xlfn.TEXTAFTER(tbl_SaaS_Audit[[#This Row],[region]],"-")</f>
        <v>EAST</v>
      </c>
      <c r="M216" s="8">
        <f t="shared" si="3"/>
        <v>21</v>
      </c>
      <c r="N216" s="4">
        <f>tbl_SaaS_Audit[[#This Row],[Tenure_Months]]*tbl_SaaS_Audit[[#This Row],[Monthly_Revenue]]</f>
        <v>193928.49000000002</v>
      </c>
      <c r="O216" s="3" t="str" cm="1">
        <f t="array" ref="O21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16" s="4" cm="1">
        <f t="array" ref="P216">_xlfn.IFS(tbl_SaaS_Audit[[#This Row],[Risk_Level]]="CRITICAL RISK",tbl_SaaS_Audit[[#This Row],[Monthly_Revenue]]*12,TRUE,0)</f>
        <v>0</v>
      </c>
    </row>
    <row r="217" spans="1:16">
      <c r="A217" s="1">
        <v>216</v>
      </c>
      <c r="B217" s="1" t="s">
        <v>165</v>
      </c>
      <c r="C217" s="1" t="s">
        <v>11</v>
      </c>
      <c r="D217" s="2">
        <v>45416</v>
      </c>
      <c r="E217" s="1" t="s">
        <v>41</v>
      </c>
      <c r="F217" s="4">
        <v>14327.15</v>
      </c>
      <c r="G217" s="1" t="s">
        <v>42</v>
      </c>
      <c r="H217" s="2">
        <v>46073</v>
      </c>
      <c r="I217" s="1">
        <v>11</v>
      </c>
      <c r="J217" s="1" t="s">
        <v>51</v>
      </c>
      <c r="K217" s="1" t="str">
        <f>_xlfn.TEXTBEFORE(tbl_SaaS_Audit[[#This Row],[region]],"-")</f>
        <v>NA</v>
      </c>
      <c r="L217" s="8" t="str">
        <f>_xlfn.TEXTAFTER(tbl_SaaS_Audit[[#This Row],[region]],"-")</f>
        <v>EAST</v>
      </c>
      <c r="M217" s="8">
        <f t="shared" si="3"/>
        <v>28</v>
      </c>
      <c r="N217" s="4">
        <f>tbl_SaaS_Audit[[#This Row],[Tenure_Months]]*tbl_SaaS_Audit[[#This Row],[Monthly_Revenue]]</f>
        <v>401160.2</v>
      </c>
      <c r="O217" s="3" t="str" cm="1">
        <f t="array" ref="O21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17" s="4" cm="1">
        <f t="array" ref="P217">_xlfn.IFS(tbl_SaaS_Audit[[#This Row],[Risk_Level]]="CRITICAL RISK",tbl_SaaS_Audit[[#This Row],[Monthly_Revenue]]*12,TRUE,0)</f>
        <v>171925.8</v>
      </c>
    </row>
    <row r="218" spans="1:16">
      <c r="A218" s="1">
        <v>217</v>
      </c>
      <c r="B218" s="1" t="s">
        <v>205</v>
      </c>
      <c r="C218" s="1" t="s">
        <v>14</v>
      </c>
      <c r="D218" s="2">
        <v>45656</v>
      </c>
      <c r="E218" s="1" t="s">
        <v>41</v>
      </c>
      <c r="F218" s="4">
        <v>12438.91</v>
      </c>
      <c r="G218" s="1" t="s">
        <v>42</v>
      </c>
      <c r="H218" s="2">
        <v>45911</v>
      </c>
      <c r="I218" s="1">
        <v>16</v>
      </c>
      <c r="J218" s="1" t="s">
        <v>34</v>
      </c>
      <c r="K218" s="1" t="str">
        <f>_xlfn.TEXTBEFORE(tbl_SaaS_Audit[[#This Row],[region]],"-")</f>
        <v>APAC</v>
      </c>
      <c r="L218" s="8" t="str">
        <f>_xlfn.TEXTAFTER(tbl_SaaS_Audit[[#This Row],[region]],"-")</f>
        <v>SGP</v>
      </c>
      <c r="M218" s="8">
        <f t="shared" si="3"/>
        <v>21</v>
      </c>
      <c r="N218" s="4">
        <f>tbl_SaaS_Audit[[#This Row],[Tenure_Months]]*tbl_SaaS_Audit[[#This Row],[Monthly_Revenue]]</f>
        <v>261217.11</v>
      </c>
      <c r="O218" s="3" t="str" cm="1">
        <f t="array" ref="O21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18" s="4" cm="1">
        <f t="array" ref="P218">_xlfn.IFS(tbl_SaaS_Audit[[#This Row],[Risk_Level]]="CRITICAL RISK",tbl_SaaS_Audit[[#This Row],[Monthly_Revenue]]*12,TRUE,0)</f>
        <v>149266.91999999998</v>
      </c>
    </row>
    <row r="219" spans="1:16">
      <c r="A219" s="1">
        <v>218</v>
      </c>
      <c r="B219" s="1" t="s">
        <v>105</v>
      </c>
      <c r="C219" s="1" t="s">
        <v>11</v>
      </c>
      <c r="D219" s="2">
        <v>45313</v>
      </c>
      <c r="E219" s="1" t="s">
        <v>41</v>
      </c>
      <c r="F219" s="4">
        <v>6336.09</v>
      </c>
      <c r="G219" s="1" t="s">
        <v>49</v>
      </c>
      <c r="H219" s="1"/>
      <c r="I219" s="1">
        <v>4</v>
      </c>
      <c r="J219" s="1" t="s">
        <v>34</v>
      </c>
      <c r="K219" s="1" t="str">
        <f>_xlfn.TEXTBEFORE(tbl_SaaS_Audit[[#This Row],[region]],"-")</f>
        <v>APAC</v>
      </c>
      <c r="L219" s="8" t="str">
        <f>_xlfn.TEXTAFTER(tbl_SaaS_Audit[[#This Row],[region]],"-")</f>
        <v>SGP</v>
      </c>
      <c r="M219" s="8">
        <f t="shared" si="3"/>
        <v>32</v>
      </c>
      <c r="N219" s="4">
        <f>tbl_SaaS_Audit[[#This Row],[Tenure_Months]]*tbl_SaaS_Audit[[#This Row],[Monthly_Revenue]]</f>
        <v>202754.88</v>
      </c>
      <c r="O219" s="3" t="str" cm="1">
        <f t="array" ref="O21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19" s="4" cm="1">
        <f t="array" ref="P219">_xlfn.IFS(tbl_SaaS_Audit[[#This Row],[Risk_Level]]="CRITICAL RISK",tbl_SaaS_Audit[[#This Row],[Monthly_Revenue]]*12,TRUE,0)</f>
        <v>0</v>
      </c>
    </row>
    <row r="220" spans="1:16">
      <c r="A220" s="1">
        <v>219</v>
      </c>
      <c r="B220" s="1" t="s">
        <v>110</v>
      </c>
      <c r="C220" s="1" t="s">
        <v>14</v>
      </c>
      <c r="D220" s="2">
        <v>45499</v>
      </c>
      <c r="E220" s="1" t="s">
        <v>39</v>
      </c>
      <c r="F220" s="4">
        <v>9997.07</v>
      </c>
      <c r="G220" s="1" t="s">
        <v>42</v>
      </c>
      <c r="H220" s="2">
        <v>45891</v>
      </c>
      <c r="I220" s="1">
        <v>17</v>
      </c>
      <c r="J220" s="1" t="s">
        <v>47</v>
      </c>
      <c r="K220" s="1" t="str">
        <f>_xlfn.TEXTBEFORE(tbl_SaaS_Audit[[#This Row],[region]],"-")</f>
        <v>NA</v>
      </c>
      <c r="L220" s="8" t="str">
        <f>_xlfn.TEXTAFTER(tbl_SaaS_Audit[[#This Row],[region]],"-")</f>
        <v>WEST</v>
      </c>
      <c r="M220" s="8">
        <f t="shared" si="3"/>
        <v>26</v>
      </c>
      <c r="N220" s="4">
        <f>tbl_SaaS_Audit[[#This Row],[Tenure_Months]]*tbl_SaaS_Audit[[#This Row],[Monthly_Revenue]]</f>
        <v>259923.82</v>
      </c>
      <c r="O220" s="3" t="str" cm="1">
        <f t="array" ref="O22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20" s="4" cm="1">
        <f t="array" ref="P220">_xlfn.IFS(tbl_SaaS_Audit[[#This Row],[Risk_Level]]="CRITICAL RISK",tbl_SaaS_Audit[[#This Row],[Monthly_Revenue]]*12,TRUE,0)</f>
        <v>119964.84</v>
      </c>
    </row>
    <row r="221" spans="1:16">
      <c r="A221" s="1">
        <v>220</v>
      </c>
      <c r="B221" s="1" t="s">
        <v>57</v>
      </c>
      <c r="C221" s="1" t="s">
        <v>14</v>
      </c>
      <c r="D221" s="2">
        <v>45544</v>
      </c>
      <c r="E221" s="1" t="s">
        <v>41</v>
      </c>
      <c r="F221" s="4">
        <v>1693.75</v>
      </c>
      <c r="G221" s="1" t="s">
        <v>33</v>
      </c>
      <c r="H221" s="2">
        <v>45952</v>
      </c>
      <c r="I221" s="1">
        <v>4</v>
      </c>
      <c r="J221" s="1" t="s">
        <v>37</v>
      </c>
      <c r="K221" s="1" t="str">
        <f>_xlfn.TEXTBEFORE(tbl_SaaS_Audit[[#This Row],[region]],"-")</f>
        <v>MEA</v>
      </c>
      <c r="L221" s="8" t="str">
        <f>_xlfn.TEXTAFTER(tbl_SaaS_Audit[[#This Row],[region]],"-")</f>
        <v>EGY</v>
      </c>
      <c r="M221" s="8">
        <f t="shared" si="3"/>
        <v>13</v>
      </c>
      <c r="N221" s="4">
        <f>tbl_SaaS_Audit[[#This Row],[Tenure_Months]]*tbl_SaaS_Audit[[#This Row],[Monthly_Revenue]]</f>
        <v>22018.75</v>
      </c>
      <c r="O221" s="3" t="str" cm="1">
        <f t="array" ref="O22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21" s="4" cm="1">
        <f t="array" ref="P221">_xlfn.IFS(tbl_SaaS_Audit[[#This Row],[Risk_Level]]="CRITICAL RISK",tbl_SaaS_Audit[[#This Row],[Monthly_Revenue]]*12,TRUE,0)</f>
        <v>0</v>
      </c>
    </row>
    <row r="222" spans="1:16">
      <c r="A222" s="1">
        <v>221</v>
      </c>
      <c r="B222" s="1" t="s">
        <v>210</v>
      </c>
      <c r="C222" s="1" t="s">
        <v>11</v>
      </c>
      <c r="D222" s="2">
        <v>45468</v>
      </c>
      <c r="E222" s="1" t="s">
        <v>39</v>
      </c>
      <c r="F222" s="4">
        <v>2129.4699999999998</v>
      </c>
      <c r="G222" s="1" t="s">
        <v>49</v>
      </c>
      <c r="H222" s="2">
        <v>46167</v>
      </c>
      <c r="I222" s="1">
        <v>0</v>
      </c>
      <c r="J222" s="1" t="s">
        <v>34</v>
      </c>
      <c r="K222" s="1" t="str">
        <f>_xlfn.TEXTBEFORE(tbl_SaaS_Audit[[#This Row],[region]],"-")</f>
        <v>APAC</v>
      </c>
      <c r="L222" s="8" t="str">
        <f>_xlfn.TEXTAFTER(tbl_SaaS_Audit[[#This Row],[region]],"-")</f>
        <v>SGP</v>
      </c>
      <c r="M222" s="8">
        <f t="shared" si="3"/>
        <v>27</v>
      </c>
      <c r="N222" s="4">
        <f>tbl_SaaS_Audit[[#This Row],[Tenure_Months]]*tbl_SaaS_Audit[[#This Row],[Monthly_Revenue]]</f>
        <v>57495.689999999995</v>
      </c>
      <c r="O222" s="3" t="str" cm="1">
        <f t="array" ref="O22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22" s="4" cm="1">
        <f t="array" ref="P222">_xlfn.IFS(tbl_SaaS_Audit[[#This Row],[Risk_Level]]="CRITICAL RISK",tbl_SaaS_Audit[[#This Row],[Monthly_Revenue]]*12,TRUE,0)</f>
        <v>0</v>
      </c>
    </row>
    <row r="223" spans="1:16">
      <c r="A223" s="1">
        <v>222</v>
      </c>
      <c r="B223" s="1" t="s">
        <v>163</v>
      </c>
      <c r="C223" s="1" t="s">
        <v>14</v>
      </c>
      <c r="D223" s="2">
        <v>45813</v>
      </c>
      <c r="E223" s="1" t="s">
        <v>39</v>
      </c>
      <c r="F223" s="4">
        <v>8178.6</v>
      </c>
      <c r="G223" s="1" t="s">
        <v>42</v>
      </c>
      <c r="H223" s="2">
        <v>46134</v>
      </c>
      <c r="I223" s="1">
        <v>3</v>
      </c>
      <c r="J223" s="1" t="s">
        <v>37</v>
      </c>
      <c r="K223" s="1" t="str">
        <f>_xlfn.TEXTBEFORE(tbl_SaaS_Audit[[#This Row],[region]],"-")</f>
        <v>MEA</v>
      </c>
      <c r="L223" s="8" t="str">
        <f>_xlfn.TEXTAFTER(tbl_SaaS_Audit[[#This Row],[region]],"-")</f>
        <v>EGY</v>
      </c>
      <c r="M223" s="8">
        <f t="shared" si="3"/>
        <v>15</v>
      </c>
      <c r="N223" s="4">
        <f>tbl_SaaS_Audit[[#This Row],[Tenure_Months]]*tbl_SaaS_Audit[[#This Row],[Monthly_Revenue]]</f>
        <v>122679</v>
      </c>
      <c r="O223" s="3" t="str" cm="1">
        <f t="array" ref="O22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23" s="4" cm="1">
        <f t="array" ref="P223">_xlfn.IFS(tbl_SaaS_Audit[[#This Row],[Risk_Level]]="CRITICAL RISK",tbl_SaaS_Audit[[#This Row],[Monthly_Revenue]]*12,TRUE,0)</f>
        <v>0</v>
      </c>
    </row>
    <row r="224" spans="1:16">
      <c r="A224" s="1">
        <v>223</v>
      </c>
      <c r="B224" s="1" t="s">
        <v>78</v>
      </c>
      <c r="C224" s="1" t="s">
        <v>11</v>
      </c>
      <c r="D224" s="2">
        <v>45297</v>
      </c>
      <c r="E224" s="1" t="s">
        <v>41</v>
      </c>
      <c r="F224" s="4">
        <v>10382.31</v>
      </c>
      <c r="G224" s="1" t="s">
        <v>36</v>
      </c>
      <c r="H224" s="2">
        <v>46040</v>
      </c>
      <c r="I224" s="1">
        <v>2</v>
      </c>
      <c r="J224" s="1" t="s">
        <v>34</v>
      </c>
      <c r="K224" s="1" t="str">
        <f>_xlfn.TEXTBEFORE(tbl_SaaS_Audit[[#This Row],[region]],"-")</f>
        <v>APAC</v>
      </c>
      <c r="L224" s="8" t="str">
        <f>_xlfn.TEXTAFTER(tbl_SaaS_Audit[[#This Row],[region]],"-")</f>
        <v>SGP</v>
      </c>
      <c r="M224" s="8">
        <f t="shared" si="3"/>
        <v>32</v>
      </c>
      <c r="N224" s="4">
        <f>tbl_SaaS_Audit[[#This Row],[Tenure_Months]]*tbl_SaaS_Audit[[#This Row],[Monthly_Revenue]]</f>
        <v>332233.92</v>
      </c>
      <c r="O224" s="3" t="str" cm="1">
        <f t="array" ref="O22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24" s="4" cm="1">
        <f t="array" ref="P224">_xlfn.IFS(tbl_SaaS_Audit[[#This Row],[Risk_Level]]="CRITICAL RISK",tbl_SaaS_Audit[[#This Row],[Monthly_Revenue]]*12,TRUE,0)</f>
        <v>0</v>
      </c>
    </row>
    <row r="225" spans="1:16">
      <c r="A225" s="1">
        <v>224</v>
      </c>
      <c r="B225" s="1" t="s">
        <v>75</v>
      </c>
      <c r="C225" s="1" t="s">
        <v>12</v>
      </c>
      <c r="D225" s="2">
        <v>45587</v>
      </c>
      <c r="E225" s="1" t="s">
        <v>32</v>
      </c>
      <c r="F225" s="4">
        <v>1818.26</v>
      </c>
      <c r="G225" s="1" t="s">
        <v>33</v>
      </c>
      <c r="H225" s="2">
        <v>46055</v>
      </c>
      <c r="I225" s="1">
        <v>14</v>
      </c>
      <c r="J225" s="1" t="s">
        <v>37</v>
      </c>
      <c r="K225" s="1" t="str">
        <f>_xlfn.TEXTBEFORE(tbl_SaaS_Audit[[#This Row],[region]],"-")</f>
        <v>MEA</v>
      </c>
      <c r="L225" s="8" t="str">
        <f>_xlfn.TEXTAFTER(tbl_SaaS_Audit[[#This Row],[region]],"-")</f>
        <v>EGY</v>
      </c>
      <c r="M225" s="8">
        <f t="shared" si="3"/>
        <v>16</v>
      </c>
      <c r="N225" s="4">
        <f>tbl_SaaS_Audit[[#This Row],[Tenure_Months]]*tbl_SaaS_Audit[[#This Row],[Monthly_Revenue]]</f>
        <v>29092.16</v>
      </c>
      <c r="O225" s="3" t="str" cm="1">
        <f t="array" ref="O22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25" s="4" cm="1">
        <f t="array" ref="P225">_xlfn.IFS(tbl_SaaS_Audit[[#This Row],[Risk_Level]]="CRITICAL RISK",tbl_SaaS_Audit[[#This Row],[Monthly_Revenue]]*12,TRUE,0)</f>
        <v>0</v>
      </c>
    </row>
    <row r="226" spans="1:16">
      <c r="A226" s="1">
        <v>225</v>
      </c>
      <c r="B226" s="1" t="s">
        <v>75</v>
      </c>
      <c r="C226" s="1" t="s">
        <v>13</v>
      </c>
      <c r="D226" s="2">
        <v>45817</v>
      </c>
      <c r="E226" s="1" t="s">
        <v>39</v>
      </c>
      <c r="F226" s="4">
        <v>2413.6</v>
      </c>
      <c r="G226" s="1" t="s">
        <v>49</v>
      </c>
      <c r="H226" s="2">
        <v>46173</v>
      </c>
      <c r="I226" s="1">
        <v>11</v>
      </c>
      <c r="J226" s="1" t="s">
        <v>37</v>
      </c>
      <c r="K226" s="1" t="str">
        <f>_xlfn.TEXTBEFORE(tbl_SaaS_Audit[[#This Row],[region]],"-")</f>
        <v>MEA</v>
      </c>
      <c r="L226" s="8" t="str">
        <f>_xlfn.TEXTAFTER(tbl_SaaS_Audit[[#This Row],[region]],"-")</f>
        <v>EGY</v>
      </c>
      <c r="M226" s="8">
        <f t="shared" si="3"/>
        <v>15</v>
      </c>
      <c r="N226" s="4">
        <f>tbl_SaaS_Audit[[#This Row],[Tenure_Months]]*tbl_SaaS_Audit[[#This Row],[Monthly_Revenue]]</f>
        <v>36204</v>
      </c>
      <c r="O226" s="3" t="str" cm="1">
        <f t="array" ref="O22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26" s="4" cm="1">
        <f t="array" ref="P226">_xlfn.IFS(tbl_SaaS_Audit[[#This Row],[Risk_Level]]="CRITICAL RISK",tbl_SaaS_Audit[[#This Row],[Monthly_Revenue]]*12,TRUE,0)</f>
        <v>0</v>
      </c>
    </row>
    <row r="227" spans="1:16">
      <c r="A227" s="1">
        <v>226</v>
      </c>
      <c r="B227" s="1" t="s">
        <v>178</v>
      </c>
      <c r="C227" s="1" t="s">
        <v>13</v>
      </c>
      <c r="D227" s="2">
        <v>45725</v>
      </c>
      <c r="E227" s="1" t="s">
        <v>32</v>
      </c>
      <c r="F227" s="4">
        <v>13322.37</v>
      </c>
      <c r="G227" s="1" t="s">
        <v>42</v>
      </c>
      <c r="H227" s="2">
        <v>46078</v>
      </c>
      <c r="I227" s="1">
        <v>15</v>
      </c>
      <c r="J227" s="1" t="s">
        <v>47</v>
      </c>
      <c r="K227" s="1" t="str">
        <f>_xlfn.TEXTBEFORE(tbl_SaaS_Audit[[#This Row],[region]],"-")</f>
        <v>NA</v>
      </c>
      <c r="L227" s="8" t="str">
        <f>_xlfn.TEXTAFTER(tbl_SaaS_Audit[[#This Row],[region]],"-")</f>
        <v>WEST</v>
      </c>
      <c r="M227" s="8">
        <f t="shared" si="3"/>
        <v>18</v>
      </c>
      <c r="N227" s="4">
        <f>tbl_SaaS_Audit[[#This Row],[Tenure_Months]]*tbl_SaaS_Audit[[#This Row],[Monthly_Revenue]]</f>
        <v>239802.66</v>
      </c>
      <c r="O227" s="3" t="str" cm="1">
        <f t="array" ref="O22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27" s="4" cm="1">
        <f t="array" ref="P227">_xlfn.IFS(tbl_SaaS_Audit[[#This Row],[Risk_Level]]="CRITICAL RISK",tbl_SaaS_Audit[[#This Row],[Monthly_Revenue]]*12,TRUE,0)</f>
        <v>159868.44</v>
      </c>
    </row>
    <row r="228" spans="1:16">
      <c r="A228" s="1">
        <v>227</v>
      </c>
      <c r="B228" s="1" t="s">
        <v>59</v>
      </c>
      <c r="C228" s="1" t="s">
        <v>14</v>
      </c>
      <c r="D228" s="2">
        <v>45789</v>
      </c>
      <c r="E228" s="1" t="s">
        <v>41</v>
      </c>
      <c r="F228" s="4">
        <v>1784.36</v>
      </c>
      <c r="G228" s="1" t="s">
        <v>42</v>
      </c>
      <c r="H228" s="1"/>
      <c r="I228" s="1">
        <v>5</v>
      </c>
      <c r="J228" s="1" t="s">
        <v>45</v>
      </c>
      <c r="K228" s="1" t="str">
        <f>_xlfn.TEXTBEFORE(tbl_SaaS_Audit[[#This Row],[region]],"-")</f>
        <v>EU</v>
      </c>
      <c r="L228" s="8" t="str">
        <f>_xlfn.TEXTAFTER(tbl_SaaS_Audit[[#This Row],[region]],"-")</f>
        <v>CENTRAL</v>
      </c>
      <c r="M228" s="8">
        <f t="shared" si="3"/>
        <v>16</v>
      </c>
      <c r="N228" s="4">
        <f>tbl_SaaS_Audit[[#This Row],[Tenure_Months]]*tbl_SaaS_Audit[[#This Row],[Monthly_Revenue]]</f>
        <v>28549.759999999998</v>
      </c>
      <c r="O228" s="3" t="str" cm="1">
        <f t="array" ref="O22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28" s="4" cm="1">
        <f t="array" ref="P228">_xlfn.IFS(tbl_SaaS_Audit[[#This Row],[Risk_Level]]="CRITICAL RISK",tbl_SaaS_Audit[[#This Row],[Monthly_Revenue]]*12,TRUE,0)</f>
        <v>0</v>
      </c>
    </row>
    <row r="229" spans="1:16">
      <c r="A229" s="1">
        <v>228</v>
      </c>
      <c r="B229" s="1" t="s">
        <v>180</v>
      </c>
      <c r="C229" s="1" t="s">
        <v>14</v>
      </c>
      <c r="D229" s="2">
        <v>45600</v>
      </c>
      <c r="E229" s="1" t="s">
        <v>32</v>
      </c>
      <c r="F229" s="4">
        <v>11824.92</v>
      </c>
      <c r="G229" s="1" t="s">
        <v>36</v>
      </c>
      <c r="H229" s="2">
        <v>45869</v>
      </c>
      <c r="I229" s="1">
        <v>5</v>
      </c>
      <c r="J229" s="1" t="s">
        <v>47</v>
      </c>
      <c r="K229" s="1" t="str">
        <f>_xlfn.TEXTBEFORE(tbl_SaaS_Audit[[#This Row],[region]],"-")</f>
        <v>NA</v>
      </c>
      <c r="L229" s="8" t="str">
        <f>_xlfn.TEXTAFTER(tbl_SaaS_Audit[[#This Row],[region]],"-")</f>
        <v>WEST</v>
      </c>
      <c r="M229" s="8">
        <f t="shared" si="3"/>
        <v>22</v>
      </c>
      <c r="N229" s="4">
        <f>tbl_SaaS_Audit[[#This Row],[Tenure_Months]]*tbl_SaaS_Audit[[#This Row],[Monthly_Revenue]]</f>
        <v>260148.24</v>
      </c>
      <c r="O229" s="3" t="str" cm="1">
        <f t="array" ref="O22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29" s="4" cm="1">
        <f t="array" ref="P229">_xlfn.IFS(tbl_SaaS_Audit[[#This Row],[Risk_Level]]="CRITICAL RISK",tbl_SaaS_Audit[[#This Row],[Monthly_Revenue]]*12,TRUE,0)</f>
        <v>0</v>
      </c>
    </row>
    <row r="230" spans="1:16">
      <c r="A230" s="1">
        <v>229</v>
      </c>
      <c r="B230" s="1" t="s">
        <v>211</v>
      </c>
      <c r="C230" s="1" t="s">
        <v>15</v>
      </c>
      <c r="D230" s="2">
        <v>45444</v>
      </c>
      <c r="E230" s="1" t="s">
        <v>41</v>
      </c>
      <c r="F230" s="4">
        <v>7378.24</v>
      </c>
      <c r="G230" s="1" t="s">
        <v>36</v>
      </c>
      <c r="H230" s="2">
        <v>46208</v>
      </c>
      <c r="I230" s="1">
        <v>16</v>
      </c>
      <c r="J230" s="1" t="s">
        <v>47</v>
      </c>
      <c r="K230" s="1" t="str">
        <f>_xlfn.TEXTBEFORE(tbl_SaaS_Audit[[#This Row],[region]],"-")</f>
        <v>NA</v>
      </c>
      <c r="L230" s="8" t="str">
        <f>_xlfn.TEXTAFTER(tbl_SaaS_Audit[[#This Row],[region]],"-")</f>
        <v>WEST</v>
      </c>
      <c r="M230" s="8">
        <f t="shared" si="3"/>
        <v>27</v>
      </c>
      <c r="N230" s="4">
        <f>tbl_SaaS_Audit[[#This Row],[Tenure_Months]]*tbl_SaaS_Audit[[#This Row],[Monthly_Revenue]]</f>
        <v>199212.47999999998</v>
      </c>
      <c r="O230" s="3" t="str" cm="1">
        <f t="array" ref="O23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30" s="4" cm="1">
        <f t="array" ref="P230">_xlfn.IFS(tbl_SaaS_Audit[[#This Row],[Risk_Level]]="CRITICAL RISK",tbl_SaaS_Audit[[#This Row],[Monthly_Revenue]]*12,TRUE,0)</f>
        <v>0</v>
      </c>
    </row>
    <row r="231" spans="1:16">
      <c r="A231" s="1">
        <v>230</v>
      </c>
      <c r="B231" s="1" t="s">
        <v>212</v>
      </c>
      <c r="C231" s="1" t="s">
        <v>14</v>
      </c>
      <c r="D231" s="2">
        <v>45305</v>
      </c>
      <c r="E231" s="1" t="s">
        <v>41</v>
      </c>
      <c r="F231" s="4">
        <v>1758.92</v>
      </c>
      <c r="G231" s="1" t="s">
        <v>33</v>
      </c>
      <c r="H231" s="2">
        <v>46255</v>
      </c>
      <c r="I231" s="1">
        <v>12</v>
      </c>
      <c r="J231" s="1" t="s">
        <v>45</v>
      </c>
      <c r="K231" s="1" t="str">
        <f>_xlfn.TEXTBEFORE(tbl_SaaS_Audit[[#This Row],[region]],"-")</f>
        <v>EU</v>
      </c>
      <c r="L231" s="8" t="str">
        <f>_xlfn.TEXTAFTER(tbl_SaaS_Audit[[#This Row],[region]],"-")</f>
        <v>CENTRAL</v>
      </c>
      <c r="M231" s="8">
        <f t="shared" si="3"/>
        <v>31</v>
      </c>
      <c r="N231" s="4">
        <f>tbl_SaaS_Audit[[#This Row],[Tenure_Months]]*tbl_SaaS_Audit[[#This Row],[Monthly_Revenue]]</f>
        <v>54526.520000000004</v>
      </c>
      <c r="O231" s="3" t="str" cm="1">
        <f t="array" ref="O23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31" s="4" cm="1">
        <f t="array" ref="P231">_xlfn.IFS(tbl_SaaS_Audit[[#This Row],[Risk_Level]]="CRITICAL RISK",tbl_SaaS_Audit[[#This Row],[Monthly_Revenue]]*12,TRUE,0)</f>
        <v>0</v>
      </c>
    </row>
    <row r="232" spans="1:16">
      <c r="A232" s="1">
        <v>231</v>
      </c>
      <c r="B232" s="1" t="s">
        <v>213</v>
      </c>
      <c r="C232" s="1" t="s">
        <v>12</v>
      </c>
      <c r="D232" s="2">
        <v>45359</v>
      </c>
      <c r="E232" s="1" t="s">
        <v>39</v>
      </c>
      <c r="F232" s="4">
        <v>5299.61</v>
      </c>
      <c r="G232" s="1" t="s">
        <v>36</v>
      </c>
      <c r="H232" s="2">
        <v>45899</v>
      </c>
      <c r="I232" s="1">
        <v>0</v>
      </c>
      <c r="J232" s="1" t="s">
        <v>34</v>
      </c>
      <c r="K232" s="1" t="str">
        <f>_xlfn.TEXTBEFORE(tbl_SaaS_Audit[[#This Row],[region]],"-")</f>
        <v>APAC</v>
      </c>
      <c r="L232" s="8" t="str">
        <f>_xlfn.TEXTAFTER(tbl_SaaS_Audit[[#This Row],[region]],"-")</f>
        <v>SGP</v>
      </c>
      <c r="M232" s="8">
        <f t="shared" si="3"/>
        <v>30</v>
      </c>
      <c r="N232" s="4">
        <f>tbl_SaaS_Audit[[#This Row],[Tenure_Months]]*tbl_SaaS_Audit[[#This Row],[Monthly_Revenue]]</f>
        <v>158988.29999999999</v>
      </c>
      <c r="O232" s="3" t="str" cm="1">
        <f t="array" ref="O23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32" s="4" cm="1">
        <f t="array" ref="P232">_xlfn.IFS(tbl_SaaS_Audit[[#This Row],[Risk_Level]]="CRITICAL RISK",tbl_SaaS_Audit[[#This Row],[Monthly_Revenue]]*12,TRUE,0)</f>
        <v>0</v>
      </c>
    </row>
    <row r="233" spans="1:16">
      <c r="A233" s="1">
        <v>232</v>
      </c>
      <c r="B233" s="1" t="s">
        <v>214</v>
      </c>
      <c r="C233" s="1" t="s">
        <v>12</v>
      </c>
      <c r="D233" s="2">
        <v>45406</v>
      </c>
      <c r="E233" s="1" t="s">
        <v>32</v>
      </c>
      <c r="F233" s="4">
        <v>9472.1299999999992</v>
      </c>
      <c r="G233" s="1" t="s">
        <v>36</v>
      </c>
      <c r="H233" s="2">
        <v>45883</v>
      </c>
      <c r="I233" s="1">
        <v>6</v>
      </c>
      <c r="J233" s="1" t="s">
        <v>47</v>
      </c>
      <c r="K233" s="1" t="str">
        <f>_xlfn.TEXTBEFORE(tbl_SaaS_Audit[[#This Row],[region]],"-")</f>
        <v>NA</v>
      </c>
      <c r="L233" s="8" t="str">
        <f>_xlfn.TEXTAFTER(tbl_SaaS_Audit[[#This Row],[region]],"-")</f>
        <v>WEST</v>
      </c>
      <c r="M233" s="8">
        <f t="shared" si="3"/>
        <v>29</v>
      </c>
      <c r="N233" s="4">
        <f>tbl_SaaS_Audit[[#This Row],[Tenure_Months]]*tbl_SaaS_Audit[[#This Row],[Monthly_Revenue]]</f>
        <v>274691.76999999996</v>
      </c>
      <c r="O233" s="3" t="str" cm="1">
        <f t="array" ref="O23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33" s="4" cm="1">
        <f t="array" ref="P233">_xlfn.IFS(tbl_SaaS_Audit[[#This Row],[Risk_Level]]="CRITICAL RISK",tbl_SaaS_Audit[[#This Row],[Monthly_Revenue]]*12,TRUE,0)</f>
        <v>0</v>
      </c>
    </row>
    <row r="234" spans="1:16">
      <c r="A234" s="1">
        <v>233</v>
      </c>
      <c r="B234" s="1" t="s">
        <v>215</v>
      </c>
      <c r="C234" s="1" t="s">
        <v>12</v>
      </c>
      <c r="D234" s="2">
        <v>45653</v>
      </c>
      <c r="E234" s="1" t="s">
        <v>41</v>
      </c>
      <c r="F234" s="4">
        <v>2433.06</v>
      </c>
      <c r="G234" s="1" t="s">
        <v>49</v>
      </c>
      <c r="H234" s="2">
        <v>45915</v>
      </c>
      <c r="I234" s="1">
        <v>12</v>
      </c>
      <c r="J234" s="1" t="s">
        <v>34</v>
      </c>
      <c r="K234" s="1" t="str">
        <f>_xlfn.TEXTBEFORE(tbl_SaaS_Audit[[#This Row],[region]],"-")</f>
        <v>APAC</v>
      </c>
      <c r="L234" s="8" t="str">
        <f>_xlfn.TEXTAFTER(tbl_SaaS_Audit[[#This Row],[region]],"-")</f>
        <v>SGP</v>
      </c>
      <c r="M234" s="8">
        <f t="shared" si="3"/>
        <v>21</v>
      </c>
      <c r="N234" s="4">
        <f>tbl_SaaS_Audit[[#This Row],[Tenure_Months]]*tbl_SaaS_Audit[[#This Row],[Monthly_Revenue]]</f>
        <v>51094.26</v>
      </c>
      <c r="O234" s="3" t="str" cm="1">
        <f t="array" ref="O23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34" s="4" cm="1">
        <f t="array" ref="P234">_xlfn.IFS(tbl_SaaS_Audit[[#This Row],[Risk_Level]]="CRITICAL RISK",tbl_SaaS_Audit[[#This Row],[Monthly_Revenue]]*12,TRUE,0)</f>
        <v>0</v>
      </c>
    </row>
    <row r="235" spans="1:16">
      <c r="A235" s="1">
        <v>234</v>
      </c>
      <c r="B235" s="1" t="s">
        <v>61</v>
      </c>
      <c r="C235" s="1" t="s">
        <v>13</v>
      </c>
      <c r="D235" s="2">
        <v>45807</v>
      </c>
      <c r="E235" s="1" t="s">
        <v>32</v>
      </c>
      <c r="F235" s="4">
        <v>11837.5</v>
      </c>
      <c r="G235" s="1" t="s">
        <v>49</v>
      </c>
      <c r="H235" s="2">
        <v>45964</v>
      </c>
      <c r="I235" s="1">
        <v>3</v>
      </c>
      <c r="J235" s="1" t="s">
        <v>34</v>
      </c>
      <c r="K235" s="1" t="str">
        <f>_xlfn.TEXTBEFORE(tbl_SaaS_Audit[[#This Row],[region]],"-")</f>
        <v>APAC</v>
      </c>
      <c r="L235" s="8" t="str">
        <f>_xlfn.TEXTAFTER(tbl_SaaS_Audit[[#This Row],[region]],"-")</f>
        <v>SGP</v>
      </c>
      <c r="M235" s="8">
        <f t="shared" si="3"/>
        <v>16</v>
      </c>
      <c r="N235" s="4">
        <f>tbl_SaaS_Audit[[#This Row],[Tenure_Months]]*tbl_SaaS_Audit[[#This Row],[Monthly_Revenue]]</f>
        <v>189400</v>
      </c>
      <c r="O235" s="3" t="str" cm="1">
        <f t="array" ref="O23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35" s="4" cm="1">
        <f t="array" ref="P235">_xlfn.IFS(tbl_SaaS_Audit[[#This Row],[Risk_Level]]="CRITICAL RISK",tbl_SaaS_Audit[[#This Row],[Monthly_Revenue]]*12,TRUE,0)</f>
        <v>0</v>
      </c>
    </row>
    <row r="236" spans="1:16">
      <c r="A236" s="1">
        <v>235</v>
      </c>
      <c r="B236" s="1" t="s">
        <v>216</v>
      </c>
      <c r="C236" s="1" t="s">
        <v>13</v>
      </c>
      <c r="D236" s="2">
        <v>45451</v>
      </c>
      <c r="E236" s="1" t="s">
        <v>41</v>
      </c>
      <c r="F236" s="4">
        <v>6924.84</v>
      </c>
      <c r="G236" s="1" t="s">
        <v>49</v>
      </c>
      <c r="H236" s="2">
        <v>45862</v>
      </c>
      <c r="I236" s="1">
        <v>17</v>
      </c>
      <c r="J236" s="1" t="s">
        <v>37</v>
      </c>
      <c r="K236" s="1" t="str">
        <f>_xlfn.TEXTBEFORE(tbl_SaaS_Audit[[#This Row],[region]],"-")</f>
        <v>MEA</v>
      </c>
      <c r="L236" s="8" t="str">
        <f>_xlfn.TEXTAFTER(tbl_SaaS_Audit[[#This Row],[region]],"-")</f>
        <v>EGY</v>
      </c>
      <c r="M236" s="8">
        <f t="shared" si="3"/>
        <v>27</v>
      </c>
      <c r="N236" s="4">
        <f>tbl_SaaS_Audit[[#This Row],[Tenure_Months]]*tbl_SaaS_Audit[[#This Row],[Monthly_Revenue]]</f>
        <v>186970.68</v>
      </c>
      <c r="O236" s="3" t="str" cm="1">
        <f t="array" ref="O23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36" s="4" cm="1">
        <f t="array" ref="P236">_xlfn.IFS(tbl_SaaS_Audit[[#This Row],[Risk_Level]]="CRITICAL RISK",tbl_SaaS_Audit[[#This Row],[Monthly_Revenue]]*12,TRUE,0)</f>
        <v>0</v>
      </c>
    </row>
    <row r="237" spans="1:16">
      <c r="A237" s="1">
        <v>236</v>
      </c>
      <c r="B237" s="1" t="s">
        <v>217</v>
      </c>
      <c r="C237" s="1" t="s">
        <v>11</v>
      </c>
      <c r="D237" s="2">
        <v>45294</v>
      </c>
      <c r="E237" s="1" t="s">
        <v>41</v>
      </c>
      <c r="F237" s="4">
        <v>12914.2</v>
      </c>
      <c r="G237" s="1" t="s">
        <v>33</v>
      </c>
      <c r="H237" s="2">
        <v>46231</v>
      </c>
      <c r="I237" s="1">
        <v>13</v>
      </c>
      <c r="J237" s="1" t="s">
        <v>37</v>
      </c>
      <c r="K237" s="1" t="str">
        <f>_xlfn.TEXTBEFORE(tbl_SaaS_Audit[[#This Row],[region]],"-")</f>
        <v>MEA</v>
      </c>
      <c r="L237" s="8" t="str">
        <f>_xlfn.TEXTAFTER(tbl_SaaS_Audit[[#This Row],[region]],"-")</f>
        <v>EGY</v>
      </c>
      <c r="M237" s="8">
        <f t="shared" si="3"/>
        <v>30</v>
      </c>
      <c r="N237" s="4">
        <f>tbl_SaaS_Audit[[#This Row],[Tenure_Months]]*tbl_SaaS_Audit[[#This Row],[Monthly_Revenue]]</f>
        <v>387426</v>
      </c>
      <c r="O237" s="3" t="str" cm="1">
        <f t="array" ref="O23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37" s="4" cm="1">
        <f t="array" ref="P237">_xlfn.IFS(tbl_SaaS_Audit[[#This Row],[Risk_Level]]="CRITICAL RISK",tbl_SaaS_Audit[[#This Row],[Monthly_Revenue]]*12,TRUE,0)</f>
        <v>0</v>
      </c>
    </row>
    <row r="238" spans="1:16">
      <c r="A238" s="1">
        <v>237</v>
      </c>
      <c r="B238" s="1" t="s">
        <v>82</v>
      </c>
      <c r="C238" s="1" t="s">
        <v>15</v>
      </c>
      <c r="D238" s="2">
        <v>45394</v>
      </c>
      <c r="E238" s="1" t="s">
        <v>41</v>
      </c>
      <c r="F238" s="4">
        <v>2456.7600000000002</v>
      </c>
      <c r="G238" s="1" t="s">
        <v>33</v>
      </c>
      <c r="H238" s="1"/>
      <c r="I238" s="1">
        <v>1</v>
      </c>
      <c r="J238" s="1" t="s">
        <v>45</v>
      </c>
      <c r="K238" s="1" t="str">
        <f>_xlfn.TEXTBEFORE(tbl_SaaS_Audit[[#This Row],[region]],"-")</f>
        <v>EU</v>
      </c>
      <c r="L238" s="8" t="str">
        <f>_xlfn.TEXTAFTER(tbl_SaaS_Audit[[#This Row],[region]],"-")</f>
        <v>CENTRAL</v>
      </c>
      <c r="M238" s="8">
        <f t="shared" si="3"/>
        <v>29</v>
      </c>
      <c r="N238" s="4">
        <f>tbl_SaaS_Audit[[#This Row],[Tenure_Months]]*tbl_SaaS_Audit[[#This Row],[Monthly_Revenue]]</f>
        <v>71246.040000000008</v>
      </c>
      <c r="O238" s="3" t="str" cm="1">
        <f t="array" ref="O23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38" s="4" cm="1">
        <f t="array" ref="P238">_xlfn.IFS(tbl_SaaS_Audit[[#This Row],[Risk_Level]]="CRITICAL RISK",tbl_SaaS_Audit[[#This Row],[Monthly_Revenue]]*12,TRUE,0)</f>
        <v>0</v>
      </c>
    </row>
    <row r="239" spans="1:16">
      <c r="A239" s="1">
        <v>238</v>
      </c>
      <c r="B239" s="1" t="s">
        <v>218</v>
      </c>
      <c r="C239" s="1" t="s">
        <v>14</v>
      </c>
      <c r="D239" s="2">
        <v>45437</v>
      </c>
      <c r="E239" s="1" t="s">
        <v>41</v>
      </c>
      <c r="F239" s="4">
        <v>5724.77</v>
      </c>
      <c r="G239" s="1" t="s">
        <v>49</v>
      </c>
      <c r="H239" s="2">
        <v>46105</v>
      </c>
      <c r="I239" s="1">
        <v>18</v>
      </c>
      <c r="J239" s="1" t="s">
        <v>51</v>
      </c>
      <c r="K239" s="1" t="str">
        <f>_xlfn.TEXTBEFORE(tbl_SaaS_Audit[[#This Row],[region]],"-")</f>
        <v>NA</v>
      </c>
      <c r="L239" s="8" t="str">
        <f>_xlfn.TEXTAFTER(tbl_SaaS_Audit[[#This Row],[region]],"-")</f>
        <v>EAST</v>
      </c>
      <c r="M239" s="8">
        <f t="shared" si="3"/>
        <v>28</v>
      </c>
      <c r="N239" s="4">
        <f>tbl_SaaS_Audit[[#This Row],[Tenure_Months]]*tbl_SaaS_Audit[[#This Row],[Monthly_Revenue]]</f>
        <v>160293.56</v>
      </c>
      <c r="O239" s="3" t="str" cm="1">
        <f t="array" ref="O23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39" s="4" cm="1">
        <f t="array" ref="P239">_xlfn.IFS(tbl_SaaS_Audit[[#This Row],[Risk_Level]]="CRITICAL RISK",tbl_SaaS_Audit[[#This Row],[Monthly_Revenue]]*12,TRUE,0)</f>
        <v>0</v>
      </c>
    </row>
    <row r="240" spans="1:16">
      <c r="A240" s="1">
        <v>239</v>
      </c>
      <c r="B240" s="1" t="s">
        <v>151</v>
      </c>
      <c r="C240" s="1" t="s">
        <v>12</v>
      </c>
      <c r="D240" s="2">
        <v>45631</v>
      </c>
      <c r="E240" s="1" t="s">
        <v>39</v>
      </c>
      <c r="F240" s="4">
        <v>5707.34</v>
      </c>
      <c r="G240" s="1" t="s">
        <v>49</v>
      </c>
      <c r="H240" s="2">
        <v>46132</v>
      </c>
      <c r="I240" s="1">
        <v>5</v>
      </c>
      <c r="J240" s="1" t="s">
        <v>45</v>
      </c>
      <c r="K240" s="1" t="str">
        <f>_xlfn.TEXTBEFORE(tbl_SaaS_Audit[[#This Row],[region]],"-")</f>
        <v>EU</v>
      </c>
      <c r="L240" s="8" t="str">
        <f>_xlfn.TEXTAFTER(tbl_SaaS_Audit[[#This Row],[region]],"-")</f>
        <v>CENTRAL</v>
      </c>
      <c r="M240" s="8">
        <f t="shared" si="3"/>
        <v>21</v>
      </c>
      <c r="N240" s="4">
        <f>tbl_SaaS_Audit[[#This Row],[Tenure_Months]]*tbl_SaaS_Audit[[#This Row],[Monthly_Revenue]]</f>
        <v>119854.14</v>
      </c>
      <c r="O240" s="3" t="str" cm="1">
        <f t="array" ref="O24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40" s="4" cm="1">
        <f t="array" ref="P240">_xlfn.IFS(tbl_SaaS_Audit[[#This Row],[Risk_Level]]="CRITICAL RISK",tbl_SaaS_Audit[[#This Row],[Monthly_Revenue]]*12,TRUE,0)</f>
        <v>0</v>
      </c>
    </row>
    <row r="241" spans="1:16">
      <c r="A241" s="1">
        <v>240</v>
      </c>
      <c r="B241" s="1" t="s">
        <v>89</v>
      </c>
      <c r="C241" s="1" t="s">
        <v>13</v>
      </c>
      <c r="D241" s="2">
        <v>45687</v>
      </c>
      <c r="E241" s="1" t="s">
        <v>41</v>
      </c>
      <c r="F241" s="4">
        <v>1870.51</v>
      </c>
      <c r="G241" s="1" t="s">
        <v>33</v>
      </c>
      <c r="H241" s="2">
        <v>46205</v>
      </c>
      <c r="I241" s="1">
        <v>17</v>
      </c>
      <c r="J241" s="1" t="s">
        <v>51</v>
      </c>
      <c r="K241" s="1" t="str">
        <f>_xlfn.TEXTBEFORE(tbl_SaaS_Audit[[#This Row],[region]],"-")</f>
        <v>NA</v>
      </c>
      <c r="L241" s="8" t="str">
        <f>_xlfn.TEXTAFTER(tbl_SaaS_Audit[[#This Row],[region]],"-")</f>
        <v>EAST</v>
      </c>
      <c r="M241" s="8">
        <f t="shared" si="3"/>
        <v>18</v>
      </c>
      <c r="N241" s="4">
        <f>tbl_SaaS_Audit[[#This Row],[Tenure_Months]]*tbl_SaaS_Audit[[#This Row],[Monthly_Revenue]]</f>
        <v>33669.18</v>
      </c>
      <c r="O241" s="3" t="str" cm="1">
        <f t="array" ref="O24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41" s="4" cm="1">
        <f t="array" ref="P241">_xlfn.IFS(tbl_SaaS_Audit[[#This Row],[Risk_Level]]="CRITICAL RISK",tbl_SaaS_Audit[[#This Row],[Monthly_Revenue]]*12,TRUE,0)</f>
        <v>0</v>
      </c>
    </row>
    <row r="242" spans="1:16">
      <c r="A242" s="1">
        <v>241</v>
      </c>
      <c r="B242" s="1" t="s">
        <v>219</v>
      </c>
      <c r="C242" s="1" t="s">
        <v>11</v>
      </c>
      <c r="D242" s="2">
        <v>45815</v>
      </c>
      <c r="E242" s="1" t="s">
        <v>39</v>
      </c>
      <c r="F242" s="4">
        <v>11765.53</v>
      </c>
      <c r="G242" s="1" t="s">
        <v>33</v>
      </c>
      <c r="H242" s="2">
        <v>46217</v>
      </c>
      <c r="I242" s="1">
        <v>17</v>
      </c>
      <c r="J242" s="1" t="s">
        <v>37</v>
      </c>
      <c r="K242" s="1" t="str">
        <f>_xlfn.TEXTBEFORE(tbl_SaaS_Audit[[#This Row],[region]],"-")</f>
        <v>MEA</v>
      </c>
      <c r="L242" s="8" t="str">
        <f>_xlfn.TEXTAFTER(tbl_SaaS_Audit[[#This Row],[region]],"-")</f>
        <v>EGY</v>
      </c>
      <c r="M242" s="8">
        <f t="shared" si="3"/>
        <v>13</v>
      </c>
      <c r="N242" s="4">
        <f>tbl_SaaS_Audit[[#This Row],[Tenure_Months]]*tbl_SaaS_Audit[[#This Row],[Monthly_Revenue]]</f>
        <v>152951.89000000001</v>
      </c>
      <c r="O242" s="3" t="str" cm="1">
        <f t="array" ref="O24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42" s="4" cm="1">
        <f t="array" ref="P242">_xlfn.IFS(tbl_SaaS_Audit[[#This Row],[Risk_Level]]="CRITICAL RISK",tbl_SaaS_Audit[[#This Row],[Monthly_Revenue]]*12,TRUE,0)</f>
        <v>0</v>
      </c>
    </row>
    <row r="243" spans="1:16">
      <c r="A243" s="1">
        <v>242</v>
      </c>
      <c r="B243" s="1" t="s">
        <v>220</v>
      </c>
      <c r="C243" s="1" t="s">
        <v>11</v>
      </c>
      <c r="D243" s="2">
        <v>45385</v>
      </c>
      <c r="E243" s="1" t="s">
        <v>39</v>
      </c>
      <c r="F243" s="4">
        <v>14790.99</v>
      </c>
      <c r="G243" s="1" t="s">
        <v>42</v>
      </c>
      <c r="H243" s="2">
        <v>46050</v>
      </c>
      <c r="I243" s="1">
        <v>2</v>
      </c>
      <c r="J243" s="1" t="s">
        <v>37</v>
      </c>
      <c r="K243" s="1" t="str">
        <f>_xlfn.TEXTBEFORE(tbl_SaaS_Audit[[#This Row],[region]],"-")</f>
        <v>MEA</v>
      </c>
      <c r="L243" s="8" t="str">
        <f>_xlfn.TEXTAFTER(tbl_SaaS_Audit[[#This Row],[region]],"-")</f>
        <v>EGY</v>
      </c>
      <c r="M243" s="8">
        <f t="shared" si="3"/>
        <v>29</v>
      </c>
      <c r="N243" s="4">
        <f>tbl_SaaS_Audit[[#This Row],[Tenure_Months]]*tbl_SaaS_Audit[[#This Row],[Monthly_Revenue]]</f>
        <v>428938.71</v>
      </c>
      <c r="O243" s="3" t="str" cm="1">
        <f t="array" ref="O24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43" s="4" cm="1">
        <f t="array" ref="P243">_xlfn.IFS(tbl_SaaS_Audit[[#This Row],[Risk_Level]]="CRITICAL RISK",tbl_SaaS_Audit[[#This Row],[Monthly_Revenue]]*12,TRUE,0)</f>
        <v>0</v>
      </c>
    </row>
    <row r="244" spans="1:16">
      <c r="A244" s="1">
        <v>243</v>
      </c>
      <c r="B244" s="1" t="s">
        <v>221</v>
      </c>
      <c r="C244" s="1" t="s">
        <v>14</v>
      </c>
      <c r="D244" s="2">
        <v>45773</v>
      </c>
      <c r="E244" s="1" t="s">
        <v>41</v>
      </c>
      <c r="F244" s="4">
        <v>10917.62</v>
      </c>
      <c r="G244" s="1" t="s">
        <v>49</v>
      </c>
      <c r="H244" s="2">
        <v>45912</v>
      </c>
      <c r="I244" s="1">
        <v>6</v>
      </c>
      <c r="J244" s="1" t="s">
        <v>34</v>
      </c>
      <c r="K244" s="1" t="str">
        <f>_xlfn.TEXTBEFORE(tbl_SaaS_Audit[[#This Row],[region]],"-")</f>
        <v>APAC</v>
      </c>
      <c r="L244" s="8" t="str">
        <f>_xlfn.TEXTAFTER(tbl_SaaS_Audit[[#This Row],[region]],"-")</f>
        <v>SGP</v>
      </c>
      <c r="M244" s="8">
        <f t="shared" si="3"/>
        <v>17</v>
      </c>
      <c r="N244" s="4">
        <f>tbl_SaaS_Audit[[#This Row],[Tenure_Months]]*tbl_SaaS_Audit[[#This Row],[Monthly_Revenue]]</f>
        <v>185599.54</v>
      </c>
      <c r="O244" s="3" t="str" cm="1">
        <f t="array" ref="O24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44" s="4" cm="1">
        <f t="array" ref="P244">_xlfn.IFS(tbl_SaaS_Audit[[#This Row],[Risk_Level]]="CRITICAL RISK",tbl_SaaS_Audit[[#This Row],[Monthly_Revenue]]*12,TRUE,0)</f>
        <v>0</v>
      </c>
    </row>
    <row r="245" spans="1:16">
      <c r="A245" s="1">
        <v>244</v>
      </c>
      <c r="B245" s="1" t="s">
        <v>222</v>
      </c>
      <c r="C245" s="1" t="s">
        <v>11</v>
      </c>
      <c r="D245" s="2">
        <v>45734</v>
      </c>
      <c r="E245" s="1" t="s">
        <v>41</v>
      </c>
      <c r="F245" s="4">
        <v>12039.27</v>
      </c>
      <c r="G245" s="1" t="s">
        <v>42</v>
      </c>
      <c r="H245" s="1"/>
      <c r="I245" s="1">
        <v>7</v>
      </c>
      <c r="J245" s="1" t="s">
        <v>37</v>
      </c>
      <c r="K245" s="1" t="str">
        <f>_xlfn.TEXTBEFORE(tbl_SaaS_Audit[[#This Row],[region]],"-")</f>
        <v>MEA</v>
      </c>
      <c r="L245" s="8" t="str">
        <f>_xlfn.TEXTAFTER(tbl_SaaS_Audit[[#This Row],[region]],"-")</f>
        <v>EGY</v>
      </c>
      <c r="M245" s="8">
        <f t="shared" si="3"/>
        <v>18</v>
      </c>
      <c r="N245" s="4">
        <f>tbl_SaaS_Audit[[#This Row],[Tenure_Months]]*tbl_SaaS_Audit[[#This Row],[Monthly_Revenue]]</f>
        <v>216706.86000000002</v>
      </c>
      <c r="O245" s="3" t="str" cm="1">
        <f t="array" ref="O24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45" s="4" cm="1">
        <f t="array" ref="P245">_xlfn.IFS(tbl_SaaS_Audit[[#This Row],[Risk_Level]]="CRITICAL RISK",tbl_SaaS_Audit[[#This Row],[Monthly_Revenue]]*12,TRUE,0)</f>
        <v>0</v>
      </c>
    </row>
    <row r="246" spans="1:16">
      <c r="A246" s="1">
        <v>245</v>
      </c>
      <c r="B246" s="1" t="s">
        <v>223</v>
      </c>
      <c r="C246" s="1" t="s">
        <v>15</v>
      </c>
      <c r="D246" s="2">
        <v>45292</v>
      </c>
      <c r="E246" s="1" t="s">
        <v>41</v>
      </c>
      <c r="F246" s="4">
        <v>14652.92</v>
      </c>
      <c r="G246" s="1" t="s">
        <v>33</v>
      </c>
      <c r="H246" s="2">
        <v>46212</v>
      </c>
      <c r="I246" s="1">
        <v>1</v>
      </c>
      <c r="J246" s="1" t="s">
        <v>51</v>
      </c>
      <c r="K246" s="1" t="str">
        <f>_xlfn.TEXTBEFORE(tbl_SaaS_Audit[[#This Row],[region]],"-")</f>
        <v>NA</v>
      </c>
      <c r="L246" s="8" t="str">
        <f>_xlfn.TEXTAFTER(tbl_SaaS_Audit[[#This Row],[region]],"-")</f>
        <v>EAST</v>
      </c>
      <c r="M246" s="8">
        <f t="shared" si="3"/>
        <v>30</v>
      </c>
      <c r="N246" s="4">
        <f>tbl_SaaS_Audit[[#This Row],[Tenure_Months]]*tbl_SaaS_Audit[[#This Row],[Monthly_Revenue]]</f>
        <v>439587.6</v>
      </c>
      <c r="O246" s="3" t="str" cm="1">
        <f t="array" ref="O24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46" s="4" cm="1">
        <f t="array" ref="P246">_xlfn.IFS(tbl_SaaS_Audit[[#This Row],[Risk_Level]]="CRITICAL RISK",tbl_SaaS_Audit[[#This Row],[Monthly_Revenue]]*12,TRUE,0)</f>
        <v>0</v>
      </c>
    </row>
    <row r="247" spans="1:16">
      <c r="A247" s="1">
        <v>246</v>
      </c>
      <c r="B247" s="1" t="s">
        <v>137</v>
      </c>
      <c r="C247" s="1" t="s">
        <v>11</v>
      </c>
      <c r="D247" s="2">
        <v>45593</v>
      </c>
      <c r="E247" s="1" t="s">
        <v>39</v>
      </c>
      <c r="F247" s="4">
        <v>8855.83</v>
      </c>
      <c r="G247" s="1" t="s">
        <v>33</v>
      </c>
      <c r="H247" s="2">
        <v>46016</v>
      </c>
      <c r="I247" s="1">
        <v>14</v>
      </c>
      <c r="J247" s="1" t="s">
        <v>47</v>
      </c>
      <c r="K247" s="1" t="str">
        <f>_xlfn.TEXTBEFORE(tbl_SaaS_Audit[[#This Row],[region]],"-")</f>
        <v>NA</v>
      </c>
      <c r="L247" s="8" t="str">
        <f>_xlfn.TEXTAFTER(tbl_SaaS_Audit[[#This Row],[region]],"-")</f>
        <v>WEST</v>
      </c>
      <c r="M247" s="8">
        <f t="shared" si="3"/>
        <v>14</v>
      </c>
      <c r="N247" s="4">
        <f>tbl_SaaS_Audit[[#This Row],[Tenure_Months]]*tbl_SaaS_Audit[[#This Row],[Monthly_Revenue]]</f>
        <v>123981.62</v>
      </c>
      <c r="O247" s="3" t="str" cm="1">
        <f t="array" ref="O24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47" s="4" cm="1">
        <f t="array" ref="P247">_xlfn.IFS(tbl_SaaS_Audit[[#This Row],[Risk_Level]]="CRITICAL RISK",tbl_SaaS_Audit[[#This Row],[Monthly_Revenue]]*12,TRUE,0)</f>
        <v>0</v>
      </c>
    </row>
    <row r="248" spans="1:16">
      <c r="A248" s="1">
        <v>247</v>
      </c>
      <c r="B248" s="1" t="s">
        <v>79</v>
      </c>
      <c r="C248" s="1" t="s">
        <v>14</v>
      </c>
      <c r="D248" s="2">
        <v>45385</v>
      </c>
      <c r="E248" s="1" t="s">
        <v>32</v>
      </c>
      <c r="F248" s="4">
        <v>9318.19</v>
      </c>
      <c r="G248" s="1" t="s">
        <v>49</v>
      </c>
      <c r="H248" s="2">
        <v>45904</v>
      </c>
      <c r="I248" s="1">
        <v>1</v>
      </c>
      <c r="J248" s="1" t="s">
        <v>37</v>
      </c>
      <c r="K248" s="1" t="str">
        <f>_xlfn.TEXTBEFORE(tbl_SaaS_Audit[[#This Row],[region]],"-")</f>
        <v>MEA</v>
      </c>
      <c r="L248" s="8" t="str">
        <f>_xlfn.TEXTAFTER(tbl_SaaS_Audit[[#This Row],[region]],"-")</f>
        <v>EGY</v>
      </c>
      <c r="M248" s="8">
        <f t="shared" si="3"/>
        <v>29</v>
      </c>
      <c r="N248" s="4">
        <f>tbl_SaaS_Audit[[#This Row],[Tenure_Months]]*tbl_SaaS_Audit[[#This Row],[Monthly_Revenue]]</f>
        <v>270227.51</v>
      </c>
      <c r="O248" s="3" t="str" cm="1">
        <f t="array" ref="O24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48" s="4" cm="1">
        <f t="array" ref="P248">_xlfn.IFS(tbl_SaaS_Audit[[#This Row],[Risk_Level]]="CRITICAL RISK",tbl_SaaS_Audit[[#This Row],[Monthly_Revenue]]*12,TRUE,0)</f>
        <v>0</v>
      </c>
    </row>
    <row r="249" spans="1:16">
      <c r="A249" s="1">
        <v>248</v>
      </c>
      <c r="B249" s="1" t="s">
        <v>141</v>
      </c>
      <c r="C249" s="1" t="s">
        <v>14</v>
      </c>
      <c r="D249" s="2">
        <v>45443</v>
      </c>
      <c r="E249" s="1" t="s">
        <v>41</v>
      </c>
      <c r="F249" s="4">
        <v>7992.14</v>
      </c>
      <c r="G249" s="1" t="s">
        <v>49</v>
      </c>
      <c r="H249" s="2">
        <v>45995</v>
      </c>
      <c r="I249" s="1">
        <v>12</v>
      </c>
      <c r="J249" s="1" t="s">
        <v>34</v>
      </c>
      <c r="K249" s="1" t="str">
        <f>_xlfn.TEXTBEFORE(tbl_SaaS_Audit[[#This Row],[region]],"-")</f>
        <v>APAC</v>
      </c>
      <c r="L249" s="8" t="str">
        <f>_xlfn.TEXTAFTER(tbl_SaaS_Audit[[#This Row],[region]],"-")</f>
        <v>SGP</v>
      </c>
      <c r="M249" s="8">
        <f t="shared" si="3"/>
        <v>28</v>
      </c>
      <c r="N249" s="4">
        <f>tbl_SaaS_Audit[[#This Row],[Tenure_Months]]*tbl_SaaS_Audit[[#This Row],[Monthly_Revenue]]</f>
        <v>223779.92</v>
      </c>
      <c r="O249" s="3" t="str" cm="1">
        <f t="array" ref="O24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49" s="4" cm="1">
        <f t="array" ref="P249">_xlfn.IFS(tbl_SaaS_Audit[[#This Row],[Risk_Level]]="CRITICAL RISK",tbl_SaaS_Audit[[#This Row],[Monthly_Revenue]]*12,TRUE,0)</f>
        <v>0</v>
      </c>
    </row>
    <row r="250" spans="1:16">
      <c r="A250" s="1">
        <v>249</v>
      </c>
      <c r="B250" s="1" t="s">
        <v>224</v>
      </c>
      <c r="C250" s="1" t="s">
        <v>12</v>
      </c>
      <c r="D250" s="2">
        <v>45503</v>
      </c>
      <c r="E250" s="1" t="s">
        <v>41</v>
      </c>
      <c r="F250" s="4">
        <v>2700.11</v>
      </c>
      <c r="G250" s="1" t="s">
        <v>42</v>
      </c>
      <c r="H250" s="2">
        <v>45911</v>
      </c>
      <c r="I250" s="1">
        <v>8</v>
      </c>
      <c r="J250" s="1" t="s">
        <v>34</v>
      </c>
      <c r="K250" s="1" t="str">
        <f>_xlfn.TEXTBEFORE(tbl_SaaS_Audit[[#This Row],[region]],"-")</f>
        <v>APAC</v>
      </c>
      <c r="L250" s="8" t="str">
        <f>_xlfn.TEXTAFTER(tbl_SaaS_Audit[[#This Row],[region]],"-")</f>
        <v>SGP</v>
      </c>
      <c r="M250" s="8">
        <f t="shared" si="3"/>
        <v>26</v>
      </c>
      <c r="N250" s="4">
        <f>tbl_SaaS_Audit[[#This Row],[Tenure_Months]]*tbl_SaaS_Audit[[#This Row],[Monthly_Revenue]]</f>
        <v>70202.86</v>
      </c>
      <c r="O250" s="3" t="str" cm="1">
        <f t="array" ref="O25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50" s="4" cm="1">
        <f t="array" ref="P250">_xlfn.IFS(tbl_SaaS_Audit[[#This Row],[Risk_Level]]="CRITICAL RISK",tbl_SaaS_Audit[[#This Row],[Monthly_Revenue]]*12,TRUE,0)</f>
        <v>0</v>
      </c>
    </row>
    <row r="251" spans="1:16">
      <c r="A251" s="1">
        <v>250</v>
      </c>
      <c r="B251" s="1" t="s">
        <v>216</v>
      </c>
      <c r="C251" s="1" t="s">
        <v>12</v>
      </c>
      <c r="D251" s="2">
        <v>45796</v>
      </c>
      <c r="E251" s="1" t="s">
        <v>41</v>
      </c>
      <c r="F251" s="4">
        <v>7619.93</v>
      </c>
      <c r="G251" s="1" t="s">
        <v>33</v>
      </c>
      <c r="H251" s="2">
        <v>46247</v>
      </c>
      <c r="I251" s="1">
        <v>2</v>
      </c>
      <c r="J251" s="1" t="s">
        <v>47</v>
      </c>
      <c r="K251" s="1" t="str">
        <f>_xlfn.TEXTBEFORE(tbl_SaaS_Audit[[#This Row],[region]],"-")</f>
        <v>NA</v>
      </c>
      <c r="L251" s="8" t="str">
        <f>_xlfn.TEXTAFTER(tbl_SaaS_Audit[[#This Row],[region]],"-")</f>
        <v>WEST</v>
      </c>
      <c r="M251" s="8">
        <f t="shared" si="3"/>
        <v>15</v>
      </c>
      <c r="N251" s="4">
        <f>tbl_SaaS_Audit[[#This Row],[Tenure_Months]]*tbl_SaaS_Audit[[#This Row],[Monthly_Revenue]]</f>
        <v>114298.95000000001</v>
      </c>
      <c r="O251" s="3" t="str" cm="1">
        <f t="array" ref="O25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51" s="4" cm="1">
        <f t="array" ref="P251">_xlfn.IFS(tbl_SaaS_Audit[[#This Row],[Risk_Level]]="CRITICAL RISK",tbl_SaaS_Audit[[#This Row],[Monthly_Revenue]]*12,TRUE,0)</f>
        <v>0</v>
      </c>
    </row>
    <row r="252" spans="1:16">
      <c r="A252" s="1">
        <v>251</v>
      </c>
      <c r="B252" s="1" t="s">
        <v>225</v>
      </c>
      <c r="C252" s="1" t="s">
        <v>13</v>
      </c>
      <c r="D252" s="2">
        <v>45620</v>
      </c>
      <c r="E252" s="1" t="s">
        <v>39</v>
      </c>
      <c r="F252" s="4">
        <v>11875.36</v>
      </c>
      <c r="G252" s="1" t="s">
        <v>33</v>
      </c>
      <c r="H252" s="2">
        <v>46139</v>
      </c>
      <c r="I252" s="1">
        <v>4</v>
      </c>
      <c r="J252" s="1" t="s">
        <v>34</v>
      </c>
      <c r="K252" s="1" t="str">
        <f>_xlfn.TEXTBEFORE(tbl_SaaS_Audit[[#This Row],[region]],"-")</f>
        <v>APAC</v>
      </c>
      <c r="L252" s="8" t="str">
        <f>_xlfn.TEXTAFTER(tbl_SaaS_Audit[[#This Row],[region]],"-")</f>
        <v>SGP</v>
      </c>
      <c r="M252" s="8">
        <f t="shared" si="3"/>
        <v>17</v>
      </c>
      <c r="N252" s="4">
        <f>tbl_SaaS_Audit[[#This Row],[Tenure_Months]]*tbl_SaaS_Audit[[#This Row],[Monthly_Revenue]]</f>
        <v>201881.12</v>
      </c>
      <c r="O252" s="3" t="str" cm="1">
        <f t="array" ref="O25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52" s="4" cm="1">
        <f t="array" ref="P252">_xlfn.IFS(tbl_SaaS_Audit[[#This Row],[Risk_Level]]="CRITICAL RISK",tbl_SaaS_Audit[[#This Row],[Monthly_Revenue]]*12,TRUE,0)</f>
        <v>0</v>
      </c>
    </row>
    <row r="253" spans="1:16">
      <c r="A253" s="1">
        <v>252</v>
      </c>
      <c r="B253" s="1" t="s">
        <v>226</v>
      </c>
      <c r="C253" s="1" t="s">
        <v>11</v>
      </c>
      <c r="D253" s="2">
        <v>45744</v>
      </c>
      <c r="E253" s="1" t="s">
        <v>41</v>
      </c>
      <c r="F253" s="4">
        <v>14158.71</v>
      </c>
      <c r="G253" s="1" t="s">
        <v>33</v>
      </c>
      <c r="H253" s="2">
        <v>45855</v>
      </c>
      <c r="I253" s="1">
        <v>18</v>
      </c>
      <c r="J253" s="1" t="s">
        <v>51</v>
      </c>
      <c r="K253" s="1" t="str">
        <f>_xlfn.TEXTBEFORE(tbl_SaaS_Audit[[#This Row],[region]],"-")</f>
        <v>NA</v>
      </c>
      <c r="L253" s="8" t="str">
        <f>_xlfn.TEXTAFTER(tbl_SaaS_Audit[[#This Row],[region]],"-")</f>
        <v>EAST</v>
      </c>
      <c r="M253" s="8">
        <f t="shared" si="3"/>
        <v>4</v>
      </c>
      <c r="N253" s="4">
        <f>tbl_SaaS_Audit[[#This Row],[Tenure_Months]]*tbl_SaaS_Audit[[#This Row],[Monthly_Revenue]]</f>
        <v>56634.84</v>
      </c>
      <c r="O253" s="3" t="str" cm="1">
        <f t="array" ref="O25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53" s="4" cm="1">
        <f t="array" ref="P253">_xlfn.IFS(tbl_SaaS_Audit[[#This Row],[Risk_Level]]="CRITICAL RISK",tbl_SaaS_Audit[[#This Row],[Monthly_Revenue]]*12,TRUE,0)</f>
        <v>0</v>
      </c>
    </row>
    <row r="254" spans="1:16">
      <c r="A254" s="1">
        <v>253</v>
      </c>
      <c r="B254" s="1" t="s">
        <v>227</v>
      </c>
      <c r="C254" s="1" t="s">
        <v>15</v>
      </c>
      <c r="D254" s="2">
        <v>45310</v>
      </c>
      <c r="E254" s="1" t="s">
        <v>39</v>
      </c>
      <c r="F254" s="4">
        <v>12782.44</v>
      </c>
      <c r="G254" s="1" t="s">
        <v>33</v>
      </c>
      <c r="H254" s="2">
        <v>46044</v>
      </c>
      <c r="I254" s="1">
        <v>7</v>
      </c>
      <c r="J254" s="1" t="s">
        <v>37</v>
      </c>
      <c r="K254" s="1" t="str">
        <f>_xlfn.TEXTBEFORE(tbl_SaaS_Audit[[#This Row],[region]],"-")</f>
        <v>MEA</v>
      </c>
      <c r="L254" s="8" t="str">
        <f>_xlfn.TEXTAFTER(tbl_SaaS_Audit[[#This Row],[region]],"-")</f>
        <v>EGY</v>
      </c>
      <c r="M254" s="8">
        <f t="shared" si="3"/>
        <v>24</v>
      </c>
      <c r="N254" s="4">
        <f>tbl_SaaS_Audit[[#This Row],[Tenure_Months]]*tbl_SaaS_Audit[[#This Row],[Monthly_Revenue]]</f>
        <v>306778.56</v>
      </c>
      <c r="O254" s="3" t="str" cm="1">
        <f t="array" ref="O25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54" s="4" cm="1">
        <f t="array" ref="P254">_xlfn.IFS(tbl_SaaS_Audit[[#This Row],[Risk_Level]]="CRITICAL RISK",tbl_SaaS_Audit[[#This Row],[Monthly_Revenue]]*12,TRUE,0)</f>
        <v>0</v>
      </c>
    </row>
    <row r="255" spans="1:16">
      <c r="A255" s="1">
        <v>254</v>
      </c>
      <c r="B255" s="1" t="s">
        <v>228</v>
      </c>
      <c r="C255" s="1" t="s">
        <v>11</v>
      </c>
      <c r="D255" s="2">
        <v>45576</v>
      </c>
      <c r="E255" s="1" t="s">
        <v>39</v>
      </c>
      <c r="F255" s="4">
        <v>12173.99</v>
      </c>
      <c r="G255" s="1" t="s">
        <v>49</v>
      </c>
      <c r="H255" s="2">
        <v>46042</v>
      </c>
      <c r="I255" s="1">
        <v>17</v>
      </c>
      <c r="J255" s="1" t="s">
        <v>34</v>
      </c>
      <c r="K255" s="1" t="str">
        <f>_xlfn.TEXTBEFORE(tbl_SaaS_Audit[[#This Row],[region]],"-")</f>
        <v>APAC</v>
      </c>
      <c r="L255" s="8" t="str">
        <f>_xlfn.TEXTAFTER(tbl_SaaS_Audit[[#This Row],[region]],"-")</f>
        <v>SGP</v>
      </c>
      <c r="M255" s="8">
        <f t="shared" si="3"/>
        <v>23</v>
      </c>
      <c r="N255" s="4">
        <f>tbl_SaaS_Audit[[#This Row],[Tenure_Months]]*tbl_SaaS_Audit[[#This Row],[Monthly_Revenue]]</f>
        <v>280001.77</v>
      </c>
      <c r="O255" s="3" t="str" cm="1">
        <f t="array" ref="O25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55" s="4" cm="1">
        <f t="array" ref="P255">_xlfn.IFS(tbl_SaaS_Audit[[#This Row],[Risk_Level]]="CRITICAL RISK",tbl_SaaS_Audit[[#This Row],[Monthly_Revenue]]*12,TRUE,0)</f>
        <v>0</v>
      </c>
    </row>
    <row r="256" spans="1:16">
      <c r="A256" s="1">
        <v>255</v>
      </c>
      <c r="B256" s="1" t="s">
        <v>222</v>
      </c>
      <c r="C256" s="1" t="s">
        <v>14</v>
      </c>
      <c r="D256" s="2">
        <v>45709</v>
      </c>
      <c r="E256" s="1" t="s">
        <v>39</v>
      </c>
      <c r="F256" s="4">
        <v>10041.57</v>
      </c>
      <c r="G256" s="1" t="s">
        <v>49</v>
      </c>
      <c r="H256" s="2">
        <v>46097</v>
      </c>
      <c r="I256" s="1">
        <v>17</v>
      </c>
      <c r="J256" s="1" t="s">
        <v>34</v>
      </c>
      <c r="K256" s="1" t="str">
        <f>_xlfn.TEXTBEFORE(tbl_SaaS_Audit[[#This Row],[region]],"-")</f>
        <v>APAC</v>
      </c>
      <c r="L256" s="8" t="str">
        <f>_xlfn.TEXTAFTER(tbl_SaaS_Audit[[#This Row],[region]],"-")</f>
        <v>SGP</v>
      </c>
      <c r="M256" s="8">
        <f t="shared" si="3"/>
        <v>19</v>
      </c>
      <c r="N256" s="4">
        <f>tbl_SaaS_Audit[[#This Row],[Tenure_Months]]*tbl_SaaS_Audit[[#This Row],[Monthly_Revenue]]</f>
        <v>190789.83</v>
      </c>
      <c r="O256" s="3" t="str" cm="1">
        <f t="array" ref="O25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56" s="4" cm="1">
        <f t="array" ref="P256">_xlfn.IFS(tbl_SaaS_Audit[[#This Row],[Risk_Level]]="CRITICAL RISK",tbl_SaaS_Audit[[#This Row],[Monthly_Revenue]]*12,TRUE,0)</f>
        <v>0</v>
      </c>
    </row>
    <row r="257" spans="1:16">
      <c r="A257" s="1">
        <v>256</v>
      </c>
      <c r="B257" s="1" t="s">
        <v>229</v>
      </c>
      <c r="C257" s="1" t="s">
        <v>14</v>
      </c>
      <c r="D257" s="2">
        <v>45631</v>
      </c>
      <c r="E257" s="1" t="s">
        <v>32</v>
      </c>
      <c r="F257" s="4">
        <v>5332.12</v>
      </c>
      <c r="G257" s="1" t="s">
        <v>36</v>
      </c>
      <c r="H257" s="1"/>
      <c r="I257" s="1">
        <v>16</v>
      </c>
      <c r="J257" s="1" t="s">
        <v>34</v>
      </c>
      <c r="K257" s="1" t="str">
        <f>_xlfn.TEXTBEFORE(tbl_SaaS_Audit[[#This Row],[region]],"-")</f>
        <v>APAC</v>
      </c>
      <c r="L257" s="8" t="str">
        <f>_xlfn.TEXTAFTER(tbl_SaaS_Audit[[#This Row],[region]],"-")</f>
        <v>SGP</v>
      </c>
      <c r="M257" s="8">
        <f t="shared" si="3"/>
        <v>21</v>
      </c>
      <c r="N257" s="4">
        <f>tbl_SaaS_Audit[[#This Row],[Tenure_Months]]*tbl_SaaS_Audit[[#This Row],[Monthly_Revenue]]</f>
        <v>111974.52</v>
      </c>
      <c r="O257" s="3" t="str" cm="1">
        <f t="array" ref="O25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57" s="4" cm="1">
        <f t="array" ref="P257">_xlfn.IFS(tbl_SaaS_Audit[[#This Row],[Risk_Level]]="CRITICAL RISK",tbl_SaaS_Audit[[#This Row],[Monthly_Revenue]]*12,TRUE,0)</f>
        <v>0</v>
      </c>
    </row>
    <row r="258" spans="1:16">
      <c r="A258" s="1">
        <v>257</v>
      </c>
      <c r="B258" s="1" t="s">
        <v>160</v>
      </c>
      <c r="C258" s="1" t="s">
        <v>14</v>
      </c>
      <c r="D258" s="2">
        <v>45817</v>
      </c>
      <c r="E258" s="1" t="s">
        <v>39</v>
      </c>
      <c r="F258" s="4">
        <v>9233.94</v>
      </c>
      <c r="G258" s="1" t="s">
        <v>36</v>
      </c>
      <c r="H258" s="2">
        <v>45989</v>
      </c>
      <c r="I258" s="1">
        <v>16</v>
      </c>
      <c r="J258" s="1" t="s">
        <v>45</v>
      </c>
      <c r="K258" s="1" t="str">
        <f>_xlfn.TEXTBEFORE(tbl_SaaS_Audit[[#This Row],[region]],"-")</f>
        <v>EU</v>
      </c>
      <c r="L258" s="8" t="str">
        <f>_xlfn.TEXTAFTER(tbl_SaaS_Audit[[#This Row],[region]],"-")</f>
        <v>CENTRAL</v>
      </c>
      <c r="M258" s="8">
        <f t="shared" ref="M258:M321" si="4">MAX(0, IF(AND(G258="Churned", ISNUMBER(H258)), (YEAR(H258)-YEAR(D258))*12 + (MONTH(H258)-MONTH(D258)), (YEAR(DATE(2026,9,1))-YEAR(D258))*12 + (MONTH(DATE(2026,9,1))-MONTH(D258))))</f>
        <v>15</v>
      </c>
      <c r="N258" s="4">
        <f>tbl_SaaS_Audit[[#This Row],[Tenure_Months]]*tbl_SaaS_Audit[[#This Row],[Monthly_Revenue]]</f>
        <v>138509.1</v>
      </c>
      <c r="O258" s="3" t="str" cm="1">
        <f t="array" ref="O25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58" s="4" cm="1">
        <f t="array" ref="P258">_xlfn.IFS(tbl_SaaS_Audit[[#This Row],[Risk_Level]]="CRITICAL RISK",tbl_SaaS_Audit[[#This Row],[Monthly_Revenue]]*12,TRUE,0)</f>
        <v>0</v>
      </c>
    </row>
    <row r="259" spans="1:16">
      <c r="A259" s="1">
        <v>258</v>
      </c>
      <c r="B259" s="1" t="s">
        <v>80</v>
      </c>
      <c r="C259" s="1" t="s">
        <v>14</v>
      </c>
      <c r="D259" s="2">
        <v>45308</v>
      </c>
      <c r="E259" s="1" t="s">
        <v>39</v>
      </c>
      <c r="F259" s="4">
        <v>10398.709999999999</v>
      </c>
      <c r="G259" s="1" t="s">
        <v>33</v>
      </c>
      <c r="H259" s="2">
        <v>46243</v>
      </c>
      <c r="I259" s="1">
        <v>6</v>
      </c>
      <c r="J259" s="1" t="s">
        <v>37</v>
      </c>
      <c r="K259" s="1" t="str">
        <f>_xlfn.TEXTBEFORE(tbl_SaaS_Audit[[#This Row],[region]],"-")</f>
        <v>MEA</v>
      </c>
      <c r="L259" s="8" t="str">
        <f>_xlfn.TEXTAFTER(tbl_SaaS_Audit[[#This Row],[region]],"-")</f>
        <v>EGY</v>
      </c>
      <c r="M259" s="8">
        <f t="shared" si="4"/>
        <v>31</v>
      </c>
      <c r="N259" s="4">
        <f>tbl_SaaS_Audit[[#This Row],[Tenure_Months]]*tbl_SaaS_Audit[[#This Row],[Monthly_Revenue]]</f>
        <v>322360.00999999995</v>
      </c>
      <c r="O259" s="3" t="str" cm="1">
        <f t="array" ref="O25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59" s="4" cm="1">
        <f t="array" ref="P259">_xlfn.IFS(tbl_SaaS_Audit[[#This Row],[Risk_Level]]="CRITICAL RISK",tbl_SaaS_Audit[[#This Row],[Monthly_Revenue]]*12,TRUE,0)</f>
        <v>0</v>
      </c>
    </row>
    <row r="260" spans="1:16">
      <c r="A260" s="1">
        <v>259</v>
      </c>
      <c r="B260" s="1" t="s">
        <v>230</v>
      </c>
      <c r="C260" s="1" t="s">
        <v>14</v>
      </c>
      <c r="D260" s="2">
        <v>45652</v>
      </c>
      <c r="E260" s="1" t="s">
        <v>32</v>
      </c>
      <c r="F260" s="4">
        <v>2367.69</v>
      </c>
      <c r="G260" s="1" t="s">
        <v>33</v>
      </c>
      <c r="H260" s="2">
        <v>46050</v>
      </c>
      <c r="I260" s="1">
        <v>17</v>
      </c>
      <c r="J260" s="1" t="s">
        <v>47</v>
      </c>
      <c r="K260" s="1" t="str">
        <f>_xlfn.TEXTBEFORE(tbl_SaaS_Audit[[#This Row],[region]],"-")</f>
        <v>NA</v>
      </c>
      <c r="L260" s="8" t="str">
        <f>_xlfn.TEXTAFTER(tbl_SaaS_Audit[[#This Row],[region]],"-")</f>
        <v>WEST</v>
      </c>
      <c r="M260" s="8">
        <f t="shared" si="4"/>
        <v>13</v>
      </c>
      <c r="N260" s="4">
        <f>tbl_SaaS_Audit[[#This Row],[Tenure_Months]]*tbl_SaaS_Audit[[#This Row],[Monthly_Revenue]]</f>
        <v>30779.97</v>
      </c>
      <c r="O260" s="3" t="str" cm="1">
        <f t="array" ref="O26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60" s="4" cm="1">
        <f t="array" ref="P260">_xlfn.IFS(tbl_SaaS_Audit[[#This Row],[Risk_Level]]="CRITICAL RISK",tbl_SaaS_Audit[[#This Row],[Monthly_Revenue]]*12,TRUE,0)</f>
        <v>0</v>
      </c>
    </row>
    <row r="261" spans="1:16">
      <c r="A261" s="1">
        <v>260</v>
      </c>
      <c r="B261" s="1" t="s">
        <v>231</v>
      </c>
      <c r="C261" s="1" t="s">
        <v>14</v>
      </c>
      <c r="D261" s="2">
        <v>45819</v>
      </c>
      <c r="E261" s="1" t="s">
        <v>39</v>
      </c>
      <c r="F261" s="4">
        <v>12826.61</v>
      </c>
      <c r="G261" s="1" t="s">
        <v>33</v>
      </c>
      <c r="H261" s="2">
        <v>46086</v>
      </c>
      <c r="I261" s="1">
        <v>8</v>
      </c>
      <c r="J261" s="1" t="s">
        <v>37</v>
      </c>
      <c r="K261" s="1" t="str">
        <f>_xlfn.TEXTBEFORE(tbl_SaaS_Audit[[#This Row],[region]],"-")</f>
        <v>MEA</v>
      </c>
      <c r="L261" s="8" t="str">
        <f>_xlfn.TEXTAFTER(tbl_SaaS_Audit[[#This Row],[region]],"-")</f>
        <v>EGY</v>
      </c>
      <c r="M261" s="8">
        <f t="shared" si="4"/>
        <v>9</v>
      </c>
      <c r="N261" s="4">
        <f>tbl_SaaS_Audit[[#This Row],[Tenure_Months]]*tbl_SaaS_Audit[[#This Row],[Monthly_Revenue]]</f>
        <v>115439.49</v>
      </c>
      <c r="O261" s="3" t="str" cm="1">
        <f t="array" ref="O26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61" s="4" cm="1">
        <f t="array" ref="P261">_xlfn.IFS(tbl_SaaS_Audit[[#This Row],[Risk_Level]]="CRITICAL RISK",tbl_SaaS_Audit[[#This Row],[Monthly_Revenue]]*12,TRUE,0)</f>
        <v>0</v>
      </c>
    </row>
    <row r="262" spans="1:16">
      <c r="A262" s="1">
        <v>261</v>
      </c>
      <c r="B262" s="1" t="s">
        <v>101</v>
      </c>
      <c r="C262" s="1" t="s">
        <v>12</v>
      </c>
      <c r="D262" s="2">
        <v>45587</v>
      </c>
      <c r="E262" s="1" t="s">
        <v>41</v>
      </c>
      <c r="F262" s="4">
        <v>2245.81</v>
      </c>
      <c r="G262" s="1" t="s">
        <v>42</v>
      </c>
      <c r="H262" s="2">
        <v>45876</v>
      </c>
      <c r="I262" s="1">
        <v>11</v>
      </c>
      <c r="J262" s="1" t="s">
        <v>45</v>
      </c>
      <c r="K262" s="1" t="str">
        <f>_xlfn.TEXTBEFORE(tbl_SaaS_Audit[[#This Row],[region]],"-")</f>
        <v>EU</v>
      </c>
      <c r="L262" s="8" t="str">
        <f>_xlfn.TEXTAFTER(tbl_SaaS_Audit[[#This Row],[region]],"-")</f>
        <v>CENTRAL</v>
      </c>
      <c r="M262" s="8">
        <f t="shared" si="4"/>
        <v>23</v>
      </c>
      <c r="N262" s="4">
        <f>tbl_SaaS_Audit[[#This Row],[Tenure_Months]]*tbl_SaaS_Audit[[#This Row],[Monthly_Revenue]]</f>
        <v>51653.63</v>
      </c>
      <c r="O262" s="3" t="str" cm="1">
        <f t="array" ref="O26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62" s="4" cm="1">
        <f t="array" ref="P262">_xlfn.IFS(tbl_SaaS_Audit[[#This Row],[Risk_Level]]="CRITICAL RISK",tbl_SaaS_Audit[[#This Row],[Monthly_Revenue]]*12,TRUE,0)</f>
        <v>26949.72</v>
      </c>
    </row>
    <row r="263" spans="1:16">
      <c r="A263" s="1">
        <v>262</v>
      </c>
      <c r="B263" s="1" t="s">
        <v>232</v>
      </c>
      <c r="C263" s="1" t="s">
        <v>12</v>
      </c>
      <c r="D263" s="2">
        <v>45445</v>
      </c>
      <c r="E263" s="1" t="s">
        <v>41</v>
      </c>
      <c r="F263" s="4">
        <v>2592.86</v>
      </c>
      <c r="G263" s="1" t="s">
        <v>36</v>
      </c>
      <c r="H263" s="2">
        <v>46147</v>
      </c>
      <c r="I263" s="1">
        <v>11</v>
      </c>
      <c r="J263" s="1" t="s">
        <v>47</v>
      </c>
      <c r="K263" s="1" t="str">
        <f>_xlfn.TEXTBEFORE(tbl_SaaS_Audit[[#This Row],[region]],"-")</f>
        <v>NA</v>
      </c>
      <c r="L263" s="8" t="str">
        <f>_xlfn.TEXTAFTER(tbl_SaaS_Audit[[#This Row],[region]],"-")</f>
        <v>WEST</v>
      </c>
      <c r="M263" s="8">
        <f t="shared" si="4"/>
        <v>27</v>
      </c>
      <c r="N263" s="4">
        <f>tbl_SaaS_Audit[[#This Row],[Tenure_Months]]*tbl_SaaS_Audit[[#This Row],[Monthly_Revenue]]</f>
        <v>70007.22</v>
      </c>
      <c r="O263" s="3" t="str" cm="1">
        <f t="array" ref="O26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63" s="4" cm="1">
        <f t="array" ref="P263">_xlfn.IFS(tbl_SaaS_Audit[[#This Row],[Risk_Level]]="CRITICAL RISK",tbl_SaaS_Audit[[#This Row],[Monthly_Revenue]]*12,TRUE,0)</f>
        <v>0</v>
      </c>
    </row>
    <row r="264" spans="1:16">
      <c r="A264" s="1">
        <v>263</v>
      </c>
      <c r="B264" s="1" t="s">
        <v>233</v>
      </c>
      <c r="C264" s="1" t="s">
        <v>11</v>
      </c>
      <c r="D264" s="2">
        <v>45337</v>
      </c>
      <c r="E264" s="1" t="s">
        <v>32</v>
      </c>
      <c r="F264" s="4">
        <v>11752.32</v>
      </c>
      <c r="G264" s="1" t="s">
        <v>42</v>
      </c>
      <c r="H264" s="2">
        <v>46049</v>
      </c>
      <c r="I264" s="1">
        <v>2</v>
      </c>
      <c r="J264" s="1" t="s">
        <v>45</v>
      </c>
      <c r="K264" s="1" t="str">
        <f>_xlfn.TEXTBEFORE(tbl_SaaS_Audit[[#This Row],[region]],"-")</f>
        <v>EU</v>
      </c>
      <c r="L264" s="8" t="str">
        <f>_xlfn.TEXTAFTER(tbl_SaaS_Audit[[#This Row],[region]],"-")</f>
        <v>CENTRAL</v>
      </c>
      <c r="M264" s="8">
        <f t="shared" si="4"/>
        <v>31</v>
      </c>
      <c r="N264" s="4">
        <f>tbl_SaaS_Audit[[#This Row],[Tenure_Months]]*tbl_SaaS_Audit[[#This Row],[Monthly_Revenue]]</f>
        <v>364321.92</v>
      </c>
      <c r="O264" s="3" t="str" cm="1">
        <f t="array" ref="O26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64" s="4" cm="1">
        <f t="array" ref="P264">_xlfn.IFS(tbl_SaaS_Audit[[#This Row],[Risk_Level]]="CRITICAL RISK",tbl_SaaS_Audit[[#This Row],[Monthly_Revenue]]*12,TRUE,0)</f>
        <v>0</v>
      </c>
    </row>
    <row r="265" spans="1:16">
      <c r="A265" s="1">
        <v>264</v>
      </c>
      <c r="B265" s="1" t="s">
        <v>234</v>
      </c>
      <c r="C265" s="1" t="s">
        <v>15</v>
      </c>
      <c r="D265" s="2">
        <v>45382</v>
      </c>
      <c r="E265" s="1" t="s">
        <v>32</v>
      </c>
      <c r="F265" s="4">
        <v>620.05999999999995</v>
      </c>
      <c r="G265" s="1" t="s">
        <v>36</v>
      </c>
      <c r="H265" s="2">
        <v>45984</v>
      </c>
      <c r="I265" s="1">
        <v>12</v>
      </c>
      <c r="J265" s="1" t="s">
        <v>37</v>
      </c>
      <c r="K265" s="1" t="str">
        <f>_xlfn.TEXTBEFORE(tbl_SaaS_Audit[[#This Row],[region]],"-")</f>
        <v>MEA</v>
      </c>
      <c r="L265" s="8" t="str">
        <f>_xlfn.TEXTAFTER(tbl_SaaS_Audit[[#This Row],[region]],"-")</f>
        <v>EGY</v>
      </c>
      <c r="M265" s="8">
        <f t="shared" si="4"/>
        <v>30</v>
      </c>
      <c r="N265" s="4">
        <f>tbl_SaaS_Audit[[#This Row],[Tenure_Months]]*tbl_SaaS_Audit[[#This Row],[Monthly_Revenue]]</f>
        <v>18601.8</v>
      </c>
      <c r="O265" s="3" t="str" cm="1">
        <f t="array" ref="O26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65" s="4" cm="1">
        <f t="array" ref="P265">_xlfn.IFS(tbl_SaaS_Audit[[#This Row],[Risk_Level]]="CRITICAL RISK",tbl_SaaS_Audit[[#This Row],[Monthly_Revenue]]*12,TRUE,0)</f>
        <v>0</v>
      </c>
    </row>
    <row r="266" spans="1:16">
      <c r="A266" s="1">
        <v>265</v>
      </c>
      <c r="B266" s="1" t="s">
        <v>89</v>
      </c>
      <c r="C266" s="1" t="s">
        <v>14</v>
      </c>
      <c r="D266" s="2">
        <v>45445</v>
      </c>
      <c r="E266" s="1" t="s">
        <v>41</v>
      </c>
      <c r="F266" s="4">
        <v>3273.67</v>
      </c>
      <c r="G266" s="1" t="s">
        <v>33</v>
      </c>
      <c r="H266" s="2">
        <v>46093</v>
      </c>
      <c r="I266" s="1">
        <v>2</v>
      </c>
      <c r="J266" s="1" t="s">
        <v>37</v>
      </c>
      <c r="K266" s="1" t="str">
        <f>_xlfn.TEXTBEFORE(tbl_SaaS_Audit[[#This Row],[region]],"-")</f>
        <v>MEA</v>
      </c>
      <c r="L266" s="8" t="str">
        <f>_xlfn.TEXTAFTER(tbl_SaaS_Audit[[#This Row],[region]],"-")</f>
        <v>EGY</v>
      </c>
      <c r="M266" s="8">
        <f t="shared" si="4"/>
        <v>21</v>
      </c>
      <c r="N266" s="4">
        <f>tbl_SaaS_Audit[[#This Row],[Tenure_Months]]*tbl_SaaS_Audit[[#This Row],[Monthly_Revenue]]</f>
        <v>68747.070000000007</v>
      </c>
      <c r="O266" s="3" t="str" cm="1">
        <f t="array" ref="O26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66" s="4" cm="1">
        <f t="array" ref="P266">_xlfn.IFS(tbl_SaaS_Audit[[#This Row],[Risk_Level]]="CRITICAL RISK",tbl_SaaS_Audit[[#This Row],[Monthly_Revenue]]*12,TRUE,0)</f>
        <v>0</v>
      </c>
    </row>
    <row r="267" spans="1:16">
      <c r="A267" s="1">
        <v>266</v>
      </c>
      <c r="B267" s="1" t="s">
        <v>99</v>
      </c>
      <c r="C267" s="1" t="s">
        <v>13</v>
      </c>
      <c r="D267" s="2">
        <v>45722</v>
      </c>
      <c r="E267" s="1" t="s">
        <v>32</v>
      </c>
      <c r="F267" s="4">
        <v>2120.17</v>
      </c>
      <c r="G267" s="1" t="s">
        <v>36</v>
      </c>
      <c r="H267" s="2">
        <v>45997</v>
      </c>
      <c r="I267" s="1">
        <v>9</v>
      </c>
      <c r="J267" s="1" t="s">
        <v>51</v>
      </c>
      <c r="K267" s="1" t="str">
        <f>_xlfn.TEXTBEFORE(tbl_SaaS_Audit[[#This Row],[region]],"-")</f>
        <v>NA</v>
      </c>
      <c r="L267" s="8" t="str">
        <f>_xlfn.TEXTAFTER(tbl_SaaS_Audit[[#This Row],[region]],"-")</f>
        <v>EAST</v>
      </c>
      <c r="M267" s="8">
        <f t="shared" si="4"/>
        <v>18</v>
      </c>
      <c r="N267" s="4">
        <f>tbl_SaaS_Audit[[#This Row],[Tenure_Months]]*tbl_SaaS_Audit[[#This Row],[Monthly_Revenue]]</f>
        <v>38163.06</v>
      </c>
      <c r="O267" s="3" t="str" cm="1">
        <f t="array" ref="O26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67" s="4" cm="1">
        <f t="array" ref="P267">_xlfn.IFS(tbl_SaaS_Audit[[#This Row],[Risk_Level]]="CRITICAL RISK",tbl_SaaS_Audit[[#This Row],[Monthly_Revenue]]*12,TRUE,0)</f>
        <v>0</v>
      </c>
    </row>
    <row r="268" spans="1:16">
      <c r="A268" s="1">
        <v>267</v>
      </c>
      <c r="B268" s="1" t="s">
        <v>235</v>
      </c>
      <c r="C268" s="1" t="s">
        <v>11</v>
      </c>
      <c r="D268" s="2">
        <v>45450</v>
      </c>
      <c r="E268" s="1" t="s">
        <v>32</v>
      </c>
      <c r="F268" s="4">
        <v>10115.290000000001</v>
      </c>
      <c r="G268" s="1" t="s">
        <v>36</v>
      </c>
      <c r="H268" s="1"/>
      <c r="I268" s="1">
        <v>15</v>
      </c>
      <c r="J268" s="1" t="s">
        <v>34</v>
      </c>
      <c r="K268" s="1" t="str">
        <f>_xlfn.TEXTBEFORE(tbl_SaaS_Audit[[#This Row],[region]],"-")</f>
        <v>APAC</v>
      </c>
      <c r="L268" s="8" t="str">
        <f>_xlfn.TEXTAFTER(tbl_SaaS_Audit[[#This Row],[region]],"-")</f>
        <v>SGP</v>
      </c>
      <c r="M268" s="8">
        <f t="shared" si="4"/>
        <v>27</v>
      </c>
      <c r="N268" s="4">
        <f>tbl_SaaS_Audit[[#This Row],[Tenure_Months]]*tbl_SaaS_Audit[[#This Row],[Monthly_Revenue]]</f>
        <v>273112.83</v>
      </c>
      <c r="O268" s="3" t="str" cm="1">
        <f t="array" ref="O26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68" s="4" cm="1">
        <f t="array" ref="P268">_xlfn.IFS(tbl_SaaS_Audit[[#This Row],[Risk_Level]]="CRITICAL RISK",tbl_SaaS_Audit[[#This Row],[Monthly_Revenue]]*12,TRUE,0)</f>
        <v>0</v>
      </c>
    </row>
    <row r="269" spans="1:16">
      <c r="A269" s="1">
        <v>268</v>
      </c>
      <c r="B269" s="1" t="s">
        <v>131</v>
      </c>
      <c r="C269" s="1" t="s">
        <v>12</v>
      </c>
      <c r="D269" s="2">
        <v>45440</v>
      </c>
      <c r="E269" s="1" t="s">
        <v>41</v>
      </c>
      <c r="F269" s="4">
        <v>4671.49</v>
      </c>
      <c r="G269" s="1" t="s">
        <v>49</v>
      </c>
      <c r="H269" s="1"/>
      <c r="I269" s="1">
        <v>11</v>
      </c>
      <c r="J269" s="1" t="s">
        <v>45</v>
      </c>
      <c r="K269" s="1" t="str">
        <f>_xlfn.TEXTBEFORE(tbl_SaaS_Audit[[#This Row],[region]],"-")</f>
        <v>EU</v>
      </c>
      <c r="L269" s="8" t="str">
        <f>_xlfn.TEXTAFTER(tbl_SaaS_Audit[[#This Row],[region]],"-")</f>
        <v>CENTRAL</v>
      </c>
      <c r="M269" s="8">
        <f t="shared" si="4"/>
        <v>28</v>
      </c>
      <c r="N269" s="4">
        <f>tbl_SaaS_Audit[[#This Row],[Tenure_Months]]*tbl_SaaS_Audit[[#This Row],[Monthly_Revenue]]</f>
        <v>130801.72</v>
      </c>
      <c r="O269" s="3" t="str" cm="1">
        <f t="array" ref="O26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69" s="4" cm="1">
        <f t="array" ref="P269">_xlfn.IFS(tbl_SaaS_Audit[[#This Row],[Risk_Level]]="CRITICAL RISK",tbl_SaaS_Audit[[#This Row],[Monthly_Revenue]]*12,TRUE,0)</f>
        <v>0</v>
      </c>
    </row>
    <row r="270" spans="1:16">
      <c r="A270" s="1">
        <v>269</v>
      </c>
      <c r="B270" s="1" t="s">
        <v>236</v>
      </c>
      <c r="C270" s="1" t="s">
        <v>11</v>
      </c>
      <c r="D270" s="2">
        <v>45322</v>
      </c>
      <c r="E270" s="1" t="s">
        <v>32</v>
      </c>
      <c r="F270" s="4">
        <v>3152.91</v>
      </c>
      <c r="G270" s="1" t="s">
        <v>36</v>
      </c>
      <c r="H270" s="2">
        <v>46213</v>
      </c>
      <c r="I270" s="1">
        <v>1</v>
      </c>
      <c r="J270" s="1" t="s">
        <v>47</v>
      </c>
      <c r="K270" s="1" t="str">
        <f>_xlfn.TEXTBEFORE(tbl_SaaS_Audit[[#This Row],[region]],"-")</f>
        <v>NA</v>
      </c>
      <c r="L270" s="8" t="str">
        <f>_xlfn.TEXTAFTER(tbl_SaaS_Audit[[#This Row],[region]],"-")</f>
        <v>WEST</v>
      </c>
      <c r="M270" s="8">
        <f t="shared" si="4"/>
        <v>32</v>
      </c>
      <c r="N270" s="4">
        <f>tbl_SaaS_Audit[[#This Row],[Tenure_Months]]*tbl_SaaS_Audit[[#This Row],[Monthly_Revenue]]</f>
        <v>100893.12</v>
      </c>
      <c r="O270" s="3" t="str" cm="1">
        <f t="array" ref="O27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70" s="4" cm="1">
        <f t="array" ref="P270">_xlfn.IFS(tbl_SaaS_Audit[[#This Row],[Risk_Level]]="CRITICAL RISK",tbl_SaaS_Audit[[#This Row],[Monthly_Revenue]]*12,TRUE,0)</f>
        <v>0</v>
      </c>
    </row>
    <row r="271" spans="1:16">
      <c r="A271" s="1">
        <v>270</v>
      </c>
      <c r="B271" s="1" t="s">
        <v>237</v>
      </c>
      <c r="C271" s="1" t="s">
        <v>14</v>
      </c>
      <c r="D271" s="2">
        <v>45393</v>
      </c>
      <c r="E271" s="1" t="s">
        <v>41</v>
      </c>
      <c r="F271" s="4">
        <v>4270.7</v>
      </c>
      <c r="G271" s="1" t="s">
        <v>36</v>
      </c>
      <c r="H271" s="2">
        <v>46005</v>
      </c>
      <c r="I271" s="1">
        <v>18</v>
      </c>
      <c r="J271" s="1" t="s">
        <v>34</v>
      </c>
      <c r="K271" s="1" t="str">
        <f>_xlfn.TEXTBEFORE(tbl_SaaS_Audit[[#This Row],[region]],"-")</f>
        <v>APAC</v>
      </c>
      <c r="L271" s="8" t="str">
        <f>_xlfn.TEXTAFTER(tbl_SaaS_Audit[[#This Row],[region]],"-")</f>
        <v>SGP</v>
      </c>
      <c r="M271" s="8">
        <f t="shared" si="4"/>
        <v>29</v>
      </c>
      <c r="N271" s="4">
        <f>tbl_SaaS_Audit[[#This Row],[Tenure_Months]]*tbl_SaaS_Audit[[#This Row],[Monthly_Revenue]]</f>
        <v>123850.29999999999</v>
      </c>
      <c r="O271" s="3" t="str" cm="1">
        <f t="array" ref="O27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71" s="4" cm="1">
        <f t="array" ref="P271">_xlfn.IFS(tbl_SaaS_Audit[[#This Row],[Risk_Level]]="CRITICAL RISK",tbl_SaaS_Audit[[#This Row],[Monthly_Revenue]]*12,TRUE,0)</f>
        <v>0</v>
      </c>
    </row>
    <row r="272" spans="1:16">
      <c r="A272" s="1">
        <v>271</v>
      </c>
      <c r="B272" s="1" t="s">
        <v>238</v>
      </c>
      <c r="C272" s="1" t="s">
        <v>15</v>
      </c>
      <c r="D272" s="2">
        <v>45353</v>
      </c>
      <c r="E272" s="1" t="s">
        <v>32</v>
      </c>
      <c r="F272" s="4">
        <v>13686.23</v>
      </c>
      <c r="G272" s="1" t="s">
        <v>36</v>
      </c>
      <c r="H272" s="2">
        <v>45943</v>
      </c>
      <c r="I272" s="1">
        <v>8</v>
      </c>
      <c r="J272" s="1" t="s">
        <v>47</v>
      </c>
      <c r="K272" s="1" t="str">
        <f>_xlfn.TEXTBEFORE(tbl_SaaS_Audit[[#This Row],[region]],"-")</f>
        <v>NA</v>
      </c>
      <c r="L272" s="8" t="str">
        <f>_xlfn.TEXTAFTER(tbl_SaaS_Audit[[#This Row],[region]],"-")</f>
        <v>WEST</v>
      </c>
      <c r="M272" s="8">
        <f t="shared" si="4"/>
        <v>30</v>
      </c>
      <c r="N272" s="4">
        <f>tbl_SaaS_Audit[[#This Row],[Tenure_Months]]*tbl_SaaS_Audit[[#This Row],[Monthly_Revenue]]</f>
        <v>410586.89999999997</v>
      </c>
      <c r="O272" s="3" t="str" cm="1">
        <f t="array" ref="O27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72" s="4" cm="1">
        <f t="array" ref="P272">_xlfn.IFS(tbl_SaaS_Audit[[#This Row],[Risk_Level]]="CRITICAL RISK",tbl_SaaS_Audit[[#This Row],[Monthly_Revenue]]*12,TRUE,0)</f>
        <v>0</v>
      </c>
    </row>
    <row r="273" spans="1:16">
      <c r="A273" s="1">
        <v>272</v>
      </c>
      <c r="B273" s="1" t="s">
        <v>78</v>
      </c>
      <c r="C273" s="1" t="s">
        <v>13</v>
      </c>
      <c r="D273" s="2">
        <v>45508</v>
      </c>
      <c r="E273" s="1" t="s">
        <v>41</v>
      </c>
      <c r="F273" s="4">
        <v>10830.86</v>
      </c>
      <c r="G273" s="1" t="s">
        <v>49</v>
      </c>
      <c r="H273" s="2">
        <v>45982</v>
      </c>
      <c r="I273" s="1">
        <v>5</v>
      </c>
      <c r="J273" s="1" t="s">
        <v>51</v>
      </c>
      <c r="K273" s="1" t="str">
        <f>_xlfn.TEXTBEFORE(tbl_SaaS_Audit[[#This Row],[region]],"-")</f>
        <v>NA</v>
      </c>
      <c r="L273" s="8" t="str">
        <f>_xlfn.TEXTAFTER(tbl_SaaS_Audit[[#This Row],[region]],"-")</f>
        <v>EAST</v>
      </c>
      <c r="M273" s="8">
        <f t="shared" si="4"/>
        <v>25</v>
      </c>
      <c r="N273" s="4">
        <f>tbl_SaaS_Audit[[#This Row],[Tenure_Months]]*tbl_SaaS_Audit[[#This Row],[Monthly_Revenue]]</f>
        <v>270771.5</v>
      </c>
      <c r="O273" s="3" t="str" cm="1">
        <f t="array" ref="O27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73" s="4" cm="1">
        <f t="array" ref="P273">_xlfn.IFS(tbl_SaaS_Audit[[#This Row],[Risk_Level]]="CRITICAL RISK",tbl_SaaS_Audit[[#This Row],[Monthly_Revenue]]*12,TRUE,0)</f>
        <v>0</v>
      </c>
    </row>
    <row r="274" spans="1:16">
      <c r="A274" s="1">
        <v>273</v>
      </c>
      <c r="B274" s="1" t="s">
        <v>216</v>
      </c>
      <c r="C274" s="1" t="s">
        <v>15</v>
      </c>
      <c r="D274" s="2">
        <v>45699</v>
      </c>
      <c r="E274" s="1" t="s">
        <v>39</v>
      </c>
      <c r="F274" s="4">
        <v>614.87</v>
      </c>
      <c r="G274" s="1" t="s">
        <v>33</v>
      </c>
      <c r="H274" s="2">
        <v>46121</v>
      </c>
      <c r="I274" s="1">
        <v>3</v>
      </c>
      <c r="J274" s="1" t="s">
        <v>51</v>
      </c>
      <c r="K274" s="1" t="str">
        <f>_xlfn.TEXTBEFORE(tbl_SaaS_Audit[[#This Row],[region]],"-")</f>
        <v>NA</v>
      </c>
      <c r="L274" s="8" t="str">
        <f>_xlfn.TEXTAFTER(tbl_SaaS_Audit[[#This Row],[region]],"-")</f>
        <v>EAST</v>
      </c>
      <c r="M274" s="8">
        <f t="shared" si="4"/>
        <v>14</v>
      </c>
      <c r="N274" s="4">
        <f>tbl_SaaS_Audit[[#This Row],[Tenure_Months]]*tbl_SaaS_Audit[[#This Row],[Monthly_Revenue]]</f>
        <v>8608.18</v>
      </c>
      <c r="O274" s="3" t="str" cm="1">
        <f t="array" ref="O27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74" s="4" cm="1">
        <f t="array" ref="P274">_xlfn.IFS(tbl_SaaS_Audit[[#This Row],[Risk_Level]]="CRITICAL RISK",tbl_SaaS_Audit[[#This Row],[Monthly_Revenue]]*12,TRUE,0)</f>
        <v>0</v>
      </c>
    </row>
    <row r="275" spans="1:16">
      <c r="A275" s="1">
        <v>274</v>
      </c>
      <c r="B275" s="1" t="s">
        <v>146</v>
      </c>
      <c r="C275" s="1" t="s">
        <v>15</v>
      </c>
      <c r="D275" s="2">
        <v>45514</v>
      </c>
      <c r="E275" s="1" t="s">
        <v>32</v>
      </c>
      <c r="F275" s="4">
        <v>11712.76</v>
      </c>
      <c r="G275" s="1" t="s">
        <v>49</v>
      </c>
      <c r="H275" s="2">
        <v>45936</v>
      </c>
      <c r="I275" s="1">
        <v>18</v>
      </c>
      <c r="J275" s="1" t="s">
        <v>51</v>
      </c>
      <c r="K275" s="1" t="str">
        <f>_xlfn.TEXTBEFORE(tbl_SaaS_Audit[[#This Row],[region]],"-")</f>
        <v>NA</v>
      </c>
      <c r="L275" s="8" t="str">
        <f>_xlfn.TEXTAFTER(tbl_SaaS_Audit[[#This Row],[region]],"-")</f>
        <v>EAST</v>
      </c>
      <c r="M275" s="8">
        <f t="shared" si="4"/>
        <v>25</v>
      </c>
      <c r="N275" s="4">
        <f>tbl_SaaS_Audit[[#This Row],[Tenure_Months]]*tbl_SaaS_Audit[[#This Row],[Monthly_Revenue]]</f>
        <v>292819</v>
      </c>
      <c r="O275" s="3" t="str" cm="1">
        <f t="array" ref="O27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75" s="4" cm="1">
        <f t="array" ref="P275">_xlfn.IFS(tbl_SaaS_Audit[[#This Row],[Risk_Level]]="CRITICAL RISK",tbl_SaaS_Audit[[#This Row],[Monthly_Revenue]]*12,TRUE,0)</f>
        <v>0</v>
      </c>
    </row>
    <row r="276" spans="1:16">
      <c r="A276" s="1">
        <v>275</v>
      </c>
      <c r="B276" s="1" t="s">
        <v>40</v>
      </c>
      <c r="C276" s="1" t="s">
        <v>12</v>
      </c>
      <c r="D276" s="2">
        <v>45785</v>
      </c>
      <c r="E276" s="1" t="s">
        <v>32</v>
      </c>
      <c r="F276" s="4">
        <v>8140.82</v>
      </c>
      <c r="G276" s="1" t="s">
        <v>33</v>
      </c>
      <c r="H276" s="2">
        <v>45850</v>
      </c>
      <c r="I276" s="1">
        <v>5</v>
      </c>
      <c r="J276" s="1" t="s">
        <v>34</v>
      </c>
      <c r="K276" s="1" t="str">
        <f>_xlfn.TEXTBEFORE(tbl_SaaS_Audit[[#This Row],[region]],"-")</f>
        <v>APAC</v>
      </c>
      <c r="L276" s="8" t="str">
        <f>_xlfn.TEXTAFTER(tbl_SaaS_Audit[[#This Row],[region]],"-")</f>
        <v>SGP</v>
      </c>
      <c r="M276" s="8">
        <f t="shared" si="4"/>
        <v>2</v>
      </c>
      <c r="N276" s="4">
        <f>tbl_SaaS_Audit[[#This Row],[Tenure_Months]]*tbl_SaaS_Audit[[#This Row],[Monthly_Revenue]]</f>
        <v>16281.64</v>
      </c>
      <c r="O276" s="3" t="str" cm="1">
        <f t="array" ref="O27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76" s="4" cm="1">
        <f t="array" ref="P276">_xlfn.IFS(tbl_SaaS_Audit[[#This Row],[Risk_Level]]="CRITICAL RISK",tbl_SaaS_Audit[[#This Row],[Monthly_Revenue]]*12,TRUE,0)</f>
        <v>0</v>
      </c>
    </row>
    <row r="277" spans="1:16">
      <c r="A277" s="1">
        <v>276</v>
      </c>
      <c r="B277" s="1" t="s">
        <v>132</v>
      </c>
      <c r="C277" s="1" t="s">
        <v>15</v>
      </c>
      <c r="D277" s="2">
        <v>45438</v>
      </c>
      <c r="E277" s="1" t="s">
        <v>41</v>
      </c>
      <c r="F277" s="4">
        <v>8965.27</v>
      </c>
      <c r="G277" s="1" t="s">
        <v>42</v>
      </c>
      <c r="H277" s="2">
        <v>45913</v>
      </c>
      <c r="I277" s="1">
        <v>3</v>
      </c>
      <c r="J277" s="1" t="s">
        <v>45</v>
      </c>
      <c r="K277" s="1" t="str">
        <f>_xlfn.TEXTBEFORE(tbl_SaaS_Audit[[#This Row],[region]],"-")</f>
        <v>EU</v>
      </c>
      <c r="L277" s="8" t="str">
        <f>_xlfn.TEXTAFTER(tbl_SaaS_Audit[[#This Row],[region]],"-")</f>
        <v>CENTRAL</v>
      </c>
      <c r="M277" s="8">
        <f t="shared" si="4"/>
        <v>28</v>
      </c>
      <c r="N277" s="4">
        <f>tbl_SaaS_Audit[[#This Row],[Tenure_Months]]*tbl_SaaS_Audit[[#This Row],[Monthly_Revenue]]</f>
        <v>251027.56</v>
      </c>
      <c r="O277" s="3" t="str" cm="1">
        <f t="array" ref="O27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77" s="4" cm="1">
        <f t="array" ref="P277">_xlfn.IFS(tbl_SaaS_Audit[[#This Row],[Risk_Level]]="CRITICAL RISK",tbl_SaaS_Audit[[#This Row],[Monthly_Revenue]]*12,TRUE,0)</f>
        <v>0</v>
      </c>
    </row>
    <row r="278" spans="1:16">
      <c r="A278" s="1">
        <v>277</v>
      </c>
      <c r="B278" s="1" t="s">
        <v>100</v>
      </c>
      <c r="C278" s="1" t="s">
        <v>13</v>
      </c>
      <c r="D278" s="2">
        <v>45713</v>
      </c>
      <c r="E278" s="1" t="s">
        <v>32</v>
      </c>
      <c r="F278" s="4">
        <v>11160.08</v>
      </c>
      <c r="G278" s="1" t="s">
        <v>36</v>
      </c>
      <c r="H278" s="2">
        <v>45974</v>
      </c>
      <c r="I278" s="1">
        <v>7</v>
      </c>
      <c r="J278" s="1" t="s">
        <v>45</v>
      </c>
      <c r="K278" s="1" t="str">
        <f>_xlfn.TEXTBEFORE(tbl_SaaS_Audit[[#This Row],[region]],"-")</f>
        <v>EU</v>
      </c>
      <c r="L278" s="8" t="str">
        <f>_xlfn.TEXTAFTER(tbl_SaaS_Audit[[#This Row],[region]],"-")</f>
        <v>CENTRAL</v>
      </c>
      <c r="M278" s="8">
        <f t="shared" si="4"/>
        <v>19</v>
      </c>
      <c r="N278" s="4">
        <f>tbl_SaaS_Audit[[#This Row],[Tenure_Months]]*tbl_SaaS_Audit[[#This Row],[Monthly_Revenue]]</f>
        <v>212041.52</v>
      </c>
      <c r="O278" s="3" t="str" cm="1">
        <f t="array" ref="O27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78" s="4" cm="1">
        <f t="array" ref="P278">_xlfn.IFS(tbl_SaaS_Audit[[#This Row],[Risk_Level]]="CRITICAL RISK",tbl_SaaS_Audit[[#This Row],[Monthly_Revenue]]*12,TRUE,0)</f>
        <v>0</v>
      </c>
    </row>
    <row r="279" spans="1:16">
      <c r="A279" s="1">
        <v>278</v>
      </c>
      <c r="B279" s="1" t="s">
        <v>239</v>
      </c>
      <c r="C279" s="1" t="s">
        <v>15</v>
      </c>
      <c r="D279" s="2">
        <v>45520</v>
      </c>
      <c r="E279" s="1" t="s">
        <v>39</v>
      </c>
      <c r="F279" s="4">
        <v>6829.43</v>
      </c>
      <c r="G279" s="1" t="s">
        <v>49</v>
      </c>
      <c r="H279" s="2">
        <v>45994</v>
      </c>
      <c r="I279" s="1">
        <v>9</v>
      </c>
      <c r="J279" s="1" t="s">
        <v>34</v>
      </c>
      <c r="K279" s="1" t="str">
        <f>_xlfn.TEXTBEFORE(tbl_SaaS_Audit[[#This Row],[region]],"-")</f>
        <v>APAC</v>
      </c>
      <c r="L279" s="8" t="str">
        <f>_xlfn.TEXTAFTER(tbl_SaaS_Audit[[#This Row],[region]],"-")</f>
        <v>SGP</v>
      </c>
      <c r="M279" s="8">
        <f t="shared" si="4"/>
        <v>25</v>
      </c>
      <c r="N279" s="4">
        <f>tbl_SaaS_Audit[[#This Row],[Tenure_Months]]*tbl_SaaS_Audit[[#This Row],[Monthly_Revenue]]</f>
        <v>170735.75</v>
      </c>
      <c r="O279" s="3" t="str" cm="1">
        <f t="array" ref="O27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79" s="4" cm="1">
        <f t="array" ref="P279">_xlfn.IFS(tbl_SaaS_Audit[[#This Row],[Risk_Level]]="CRITICAL RISK",tbl_SaaS_Audit[[#This Row],[Monthly_Revenue]]*12,TRUE,0)</f>
        <v>0</v>
      </c>
    </row>
    <row r="280" spans="1:16">
      <c r="A280" s="1">
        <v>279</v>
      </c>
      <c r="B280" s="1" t="s">
        <v>240</v>
      </c>
      <c r="C280" s="1" t="s">
        <v>11</v>
      </c>
      <c r="D280" s="2">
        <v>45479</v>
      </c>
      <c r="E280" s="1" t="s">
        <v>39</v>
      </c>
      <c r="F280" s="4">
        <v>2568.7199999999998</v>
      </c>
      <c r="G280" s="1" t="s">
        <v>42</v>
      </c>
      <c r="H280" s="1"/>
      <c r="I280" s="1">
        <v>5</v>
      </c>
      <c r="J280" s="1" t="s">
        <v>34</v>
      </c>
      <c r="K280" s="1" t="str">
        <f>_xlfn.TEXTBEFORE(tbl_SaaS_Audit[[#This Row],[region]],"-")</f>
        <v>APAC</v>
      </c>
      <c r="L280" s="8" t="str">
        <f>_xlfn.TEXTAFTER(tbl_SaaS_Audit[[#This Row],[region]],"-")</f>
        <v>SGP</v>
      </c>
      <c r="M280" s="8">
        <f t="shared" si="4"/>
        <v>26</v>
      </c>
      <c r="N280" s="4">
        <f>tbl_SaaS_Audit[[#This Row],[Tenure_Months]]*tbl_SaaS_Audit[[#This Row],[Monthly_Revenue]]</f>
        <v>66786.720000000001</v>
      </c>
      <c r="O280" s="3" t="str" cm="1">
        <f t="array" ref="O28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0" s="4" cm="1">
        <f t="array" ref="P280">_xlfn.IFS(tbl_SaaS_Audit[[#This Row],[Risk_Level]]="CRITICAL RISK",tbl_SaaS_Audit[[#This Row],[Monthly_Revenue]]*12,TRUE,0)</f>
        <v>0</v>
      </c>
    </row>
    <row r="281" spans="1:16">
      <c r="A281" s="1">
        <v>280</v>
      </c>
      <c r="B281" s="1" t="s">
        <v>241</v>
      </c>
      <c r="C281" s="1" t="s">
        <v>11</v>
      </c>
      <c r="D281" s="2">
        <v>45570</v>
      </c>
      <c r="E281" s="1" t="s">
        <v>32</v>
      </c>
      <c r="F281" s="4">
        <v>5657.33</v>
      </c>
      <c r="G281" s="1" t="s">
        <v>49</v>
      </c>
      <c r="H281" s="2">
        <v>46092</v>
      </c>
      <c r="I281" s="1">
        <v>3</v>
      </c>
      <c r="J281" s="1" t="s">
        <v>45</v>
      </c>
      <c r="K281" s="1" t="str">
        <f>_xlfn.TEXTBEFORE(tbl_SaaS_Audit[[#This Row],[region]],"-")</f>
        <v>EU</v>
      </c>
      <c r="L281" s="8" t="str">
        <f>_xlfn.TEXTAFTER(tbl_SaaS_Audit[[#This Row],[region]],"-")</f>
        <v>CENTRAL</v>
      </c>
      <c r="M281" s="8">
        <f t="shared" si="4"/>
        <v>23</v>
      </c>
      <c r="N281" s="4">
        <f>tbl_SaaS_Audit[[#This Row],[Tenure_Months]]*tbl_SaaS_Audit[[#This Row],[Monthly_Revenue]]</f>
        <v>130118.59</v>
      </c>
      <c r="O281" s="3" t="str" cm="1">
        <f t="array" ref="O28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1" s="4" cm="1">
        <f t="array" ref="P281">_xlfn.IFS(tbl_SaaS_Audit[[#This Row],[Risk_Level]]="CRITICAL RISK",tbl_SaaS_Audit[[#This Row],[Monthly_Revenue]]*12,TRUE,0)</f>
        <v>0</v>
      </c>
    </row>
    <row r="282" spans="1:16">
      <c r="A282" s="1">
        <v>281</v>
      </c>
      <c r="B282" s="1" t="s">
        <v>242</v>
      </c>
      <c r="C282" s="1" t="s">
        <v>14</v>
      </c>
      <c r="D282" s="2">
        <v>45465</v>
      </c>
      <c r="E282" s="1" t="s">
        <v>41</v>
      </c>
      <c r="F282" s="4">
        <v>4438.1000000000004</v>
      </c>
      <c r="G282" s="1" t="s">
        <v>33</v>
      </c>
      <c r="H282" s="2">
        <v>46207</v>
      </c>
      <c r="I282" s="1">
        <v>9</v>
      </c>
      <c r="J282" s="1" t="s">
        <v>51</v>
      </c>
      <c r="K282" s="1" t="str">
        <f>_xlfn.TEXTBEFORE(tbl_SaaS_Audit[[#This Row],[region]],"-")</f>
        <v>NA</v>
      </c>
      <c r="L282" s="8" t="str">
        <f>_xlfn.TEXTAFTER(tbl_SaaS_Audit[[#This Row],[region]],"-")</f>
        <v>EAST</v>
      </c>
      <c r="M282" s="8">
        <f t="shared" si="4"/>
        <v>25</v>
      </c>
      <c r="N282" s="4">
        <f>tbl_SaaS_Audit[[#This Row],[Tenure_Months]]*tbl_SaaS_Audit[[#This Row],[Monthly_Revenue]]</f>
        <v>110952.50000000001</v>
      </c>
      <c r="O282" s="3" t="str" cm="1">
        <f t="array" ref="O28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2" s="4" cm="1">
        <f t="array" ref="P282">_xlfn.IFS(tbl_SaaS_Audit[[#This Row],[Risk_Level]]="CRITICAL RISK",tbl_SaaS_Audit[[#This Row],[Monthly_Revenue]]*12,TRUE,0)</f>
        <v>0</v>
      </c>
    </row>
    <row r="283" spans="1:16">
      <c r="A283" s="1">
        <v>282</v>
      </c>
      <c r="B283" s="1" t="s">
        <v>184</v>
      </c>
      <c r="C283" s="1" t="s">
        <v>11</v>
      </c>
      <c r="D283" s="2">
        <v>45703</v>
      </c>
      <c r="E283" s="1" t="s">
        <v>32</v>
      </c>
      <c r="F283" s="4">
        <v>4605.1400000000003</v>
      </c>
      <c r="G283" s="1" t="s">
        <v>42</v>
      </c>
      <c r="H283" s="2">
        <v>45852</v>
      </c>
      <c r="I283" s="1">
        <v>17</v>
      </c>
      <c r="J283" s="1" t="s">
        <v>37</v>
      </c>
      <c r="K283" s="1" t="str">
        <f>_xlfn.TEXTBEFORE(tbl_SaaS_Audit[[#This Row],[region]],"-")</f>
        <v>MEA</v>
      </c>
      <c r="L283" s="8" t="str">
        <f>_xlfn.TEXTAFTER(tbl_SaaS_Audit[[#This Row],[region]],"-")</f>
        <v>EGY</v>
      </c>
      <c r="M283" s="8">
        <f t="shared" si="4"/>
        <v>19</v>
      </c>
      <c r="N283" s="4">
        <f>tbl_SaaS_Audit[[#This Row],[Tenure_Months]]*tbl_SaaS_Audit[[#This Row],[Monthly_Revenue]]</f>
        <v>87497.66</v>
      </c>
      <c r="O283" s="3" t="str" cm="1">
        <f t="array" ref="O28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83" s="4" cm="1">
        <f t="array" ref="P283">_xlfn.IFS(tbl_SaaS_Audit[[#This Row],[Risk_Level]]="CRITICAL RISK",tbl_SaaS_Audit[[#This Row],[Monthly_Revenue]]*12,TRUE,0)</f>
        <v>55261.680000000008</v>
      </c>
    </row>
    <row r="284" spans="1:16">
      <c r="A284" s="1">
        <v>283</v>
      </c>
      <c r="B284" s="1" t="s">
        <v>174</v>
      </c>
      <c r="C284" s="1" t="s">
        <v>11</v>
      </c>
      <c r="D284" s="2">
        <v>45453</v>
      </c>
      <c r="E284" s="1" t="s">
        <v>39</v>
      </c>
      <c r="F284" s="4">
        <v>970.64</v>
      </c>
      <c r="G284" s="1" t="s">
        <v>42</v>
      </c>
      <c r="H284" s="2">
        <v>45929</v>
      </c>
      <c r="I284" s="1">
        <v>15</v>
      </c>
      <c r="J284" s="1" t="s">
        <v>47</v>
      </c>
      <c r="K284" s="1" t="str">
        <f>_xlfn.TEXTBEFORE(tbl_SaaS_Audit[[#This Row],[region]],"-")</f>
        <v>NA</v>
      </c>
      <c r="L284" s="8" t="str">
        <f>_xlfn.TEXTAFTER(tbl_SaaS_Audit[[#This Row],[region]],"-")</f>
        <v>WEST</v>
      </c>
      <c r="M284" s="8">
        <f t="shared" si="4"/>
        <v>27</v>
      </c>
      <c r="N284" s="4">
        <f>tbl_SaaS_Audit[[#This Row],[Tenure_Months]]*tbl_SaaS_Audit[[#This Row],[Monthly_Revenue]]</f>
        <v>26207.279999999999</v>
      </c>
      <c r="O284" s="3" t="str" cm="1">
        <f t="array" ref="O28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284" s="4" cm="1">
        <f t="array" ref="P284">_xlfn.IFS(tbl_SaaS_Audit[[#This Row],[Risk_Level]]="CRITICAL RISK",tbl_SaaS_Audit[[#This Row],[Monthly_Revenue]]*12,TRUE,0)</f>
        <v>11647.68</v>
      </c>
    </row>
    <row r="285" spans="1:16">
      <c r="A285" s="1">
        <v>284</v>
      </c>
      <c r="B285" s="1" t="s">
        <v>105</v>
      </c>
      <c r="C285" s="1" t="s">
        <v>13</v>
      </c>
      <c r="D285" s="2">
        <v>45744</v>
      </c>
      <c r="E285" s="1" t="s">
        <v>32</v>
      </c>
      <c r="F285" s="4">
        <v>13188.8</v>
      </c>
      <c r="G285" s="1" t="s">
        <v>36</v>
      </c>
      <c r="H285" s="2">
        <v>45952</v>
      </c>
      <c r="I285" s="1">
        <v>16</v>
      </c>
      <c r="J285" s="1" t="s">
        <v>51</v>
      </c>
      <c r="K285" s="1" t="str">
        <f>_xlfn.TEXTBEFORE(tbl_SaaS_Audit[[#This Row],[region]],"-")</f>
        <v>NA</v>
      </c>
      <c r="L285" s="8" t="str">
        <f>_xlfn.TEXTAFTER(tbl_SaaS_Audit[[#This Row],[region]],"-")</f>
        <v>EAST</v>
      </c>
      <c r="M285" s="8">
        <f t="shared" si="4"/>
        <v>18</v>
      </c>
      <c r="N285" s="4">
        <f>tbl_SaaS_Audit[[#This Row],[Tenure_Months]]*tbl_SaaS_Audit[[#This Row],[Monthly_Revenue]]</f>
        <v>237398.39999999999</v>
      </c>
      <c r="O285" s="3" t="str" cm="1">
        <f t="array" ref="O28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85" s="4" cm="1">
        <f t="array" ref="P285">_xlfn.IFS(tbl_SaaS_Audit[[#This Row],[Risk_Level]]="CRITICAL RISK",tbl_SaaS_Audit[[#This Row],[Monthly_Revenue]]*12,TRUE,0)</f>
        <v>0</v>
      </c>
    </row>
    <row r="286" spans="1:16">
      <c r="A286" s="1">
        <v>285</v>
      </c>
      <c r="B286" s="1" t="s">
        <v>243</v>
      </c>
      <c r="C286" s="1" t="s">
        <v>15</v>
      </c>
      <c r="D286" s="2">
        <v>45490</v>
      </c>
      <c r="E286" s="1" t="s">
        <v>39</v>
      </c>
      <c r="F286" s="4">
        <v>9219.0400000000009</v>
      </c>
      <c r="G286" s="1" t="s">
        <v>49</v>
      </c>
      <c r="H286" s="2">
        <v>46127</v>
      </c>
      <c r="I286" s="1">
        <v>4</v>
      </c>
      <c r="J286" s="1" t="s">
        <v>51</v>
      </c>
      <c r="K286" s="1" t="str">
        <f>_xlfn.TEXTBEFORE(tbl_SaaS_Audit[[#This Row],[region]],"-")</f>
        <v>NA</v>
      </c>
      <c r="L286" s="8" t="str">
        <f>_xlfn.TEXTAFTER(tbl_SaaS_Audit[[#This Row],[region]],"-")</f>
        <v>EAST</v>
      </c>
      <c r="M286" s="8">
        <f t="shared" si="4"/>
        <v>26</v>
      </c>
      <c r="N286" s="4">
        <f>tbl_SaaS_Audit[[#This Row],[Tenure_Months]]*tbl_SaaS_Audit[[#This Row],[Monthly_Revenue]]</f>
        <v>239695.04000000004</v>
      </c>
      <c r="O286" s="3" t="str" cm="1">
        <f t="array" ref="O28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6" s="4" cm="1">
        <f t="array" ref="P286">_xlfn.IFS(tbl_SaaS_Audit[[#This Row],[Risk_Level]]="CRITICAL RISK",tbl_SaaS_Audit[[#This Row],[Monthly_Revenue]]*12,TRUE,0)</f>
        <v>0</v>
      </c>
    </row>
    <row r="287" spans="1:16">
      <c r="A287" s="1">
        <v>286</v>
      </c>
      <c r="B287" s="1" t="s">
        <v>244</v>
      </c>
      <c r="C287" s="1" t="s">
        <v>13</v>
      </c>
      <c r="D287" s="2">
        <v>45702</v>
      </c>
      <c r="E287" s="1" t="s">
        <v>41</v>
      </c>
      <c r="F287" s="4">
        <v>12582.98</v>
      </c>
      <c r="G287" s="1" t="s">
        <v>49</v>
      </c>
      <c r="H287" s="2">
        <v>46228</v>
      </c>
      <c r="I287" s="1">
        <v>2</v>
      </c>
      <c r="J287" s="1" t="s">
        <v>47</v>
      </c>
      <c r="K287" s="1" t="str">
        <f>_xlfn.TEXTBEFORE(tbl_SaaS_Audit[[#This Row],[region]],"-")</f>
        <v>NA</v>
      </c>
      <c r="L287" s="8" t="str">
        <f>_xlfn.TEXTAFTER(tbl_SaaS_Audit[[#This Row],[region]],"-")</f>
        <v>WEST</v>
      </c>
      <c r="M287" s="8">
        <f t="shared" si="4"/>
        <v>19</v>
      </c>
      <c r="N287" s="4">
        <f>tbl_SaaS_Audit[[#This Row],[Tenure_Months]]*tbl_SaaS_Audit[[#This Row],[Monthly_Revenue]]</f>
        <v>239076.62</v>
      </c>
      <c r="O287" s="3" t="str" cm="1">
        <f t="array" ref="O28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7" s="4" cm="1">
        <f t="array" ref="P287">_xlfn.IFS(tbl_SaaS_Audit[[#This Row],[Risk_Level]]="CRITICAL RISK",tbl_SaaS_Audit[[#This Row],[Monthly_Revenue]]*12,TRUE,0)</f>
        <v>0</v>
      </c>
    </row>
    <row r="288" spans="1:16">
      <c r="A288" s="1">
        <v>287</v>
      </c>
      <c r="B288" s="1" t="s">
        <v>245</v>
      </c>
      <c r="C288" s="1" t="s">
        <v>11</v>
      </c>
      <c r="D288" s="2">
        <v>45537</v>
      </c>
      <c r="E288" s="1" t="s">
        <v>39</v>
      </c>
      <c r="F288" s="4">
        <v>10522.44</v>
      </c>
      <c r="G288" s="1" t="s">
        <v>49</v>
      </c>
      <c r="H288" s="2">
        <v>46010</v>
      </c>
      <c r="I288" s="1">
        <v>18</v>
      </c>
      <c r="J288" s="1" t="s">
        <v>51</v>
      </c>
      <c r="K288" s="1" t="str">
        <f>_xlfn.TEXTBEFORE(tbl_SaaS_Audit[[#This Row],[region]],"-")</f>
        <v>NA</v>
      </c>
      <c r="L288" s="8" t="str">
        <f>_xlfn.TEXTAFTER(tbl_SaaS_Audit[[#This Row],[region]],"-")</f>
        <v>EAST</v>
      </c>
      <c r="M288" s="8">
        <f t="shared" si="4"/>
        <v>24</v>
      </c>
      <c r="N288" s="4">
        <f>tbl_SaaS_Audit[[#This Row],[Tenure_Months]]*tbl_SaaS_Audit[[#This Row],[Monthly_Revenue]]</f>
        <v>252538.56</v>
      </c>
      <c r="O288" s="3" t="str" cm="1">
        <f t="array" ref="O28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8" s="4" cm="1">
        <f t="array" ref="P288">_xlfn.IFS(tbl_SaaS_Audit[[#This Row],[Risk_Level]]="CRITICAL RISK",tbl_SaaS_Audit[[#This Row],[Monthly_Revenue]]*12,TRUE,0)</f>
        <v>0</v>
      </c>
    </row>
    <row r="289" spans="1:16">
      <c r="A289" s="1">
        <v>288</v>
      </c>
      <c r="B289" s="1" t="s">
        <v>93</v>
      </c>
      <c r="C289" s="1" t="s">
        <v>13</v>
      </c>
      <c r="D289" s="2">
        <v>45835</v>
      </c>
      <c r="E289" s="1" t="s">
        <v>39</v>
      </c>
      <c r="F289" s="4">
        <v>9246.01</v>
      </c>
      <c r="G289" s="1" t="s">
        <v>49</v>
      </c>
      <c r="H289" s="2">
        <v>45865</v>
      </c>
      <c r="I289" s="1">
        <v>14</v>
      </c>
      <c r="J289" s="1" t="s">
        <v>45</v>
      </c>
      <c r="K289" s="1" t="str">
        <f>_xlfn.TEXTBEFORE(tbl_SaaS_Audit[[#This Row],[region]],"-")</f>
        <v>EU</v>
      </c>
      <c r="L289" s="8" t="str">
        <f>_xlfn.TEXTAFTER(tbl_SaaS_Audit[[#This Row],[region]],"-")</f>
        <v>CENTRAL</v>
      </c>
      <c r="M289" s="8">
        <f t="shared" si="4"/>
        <v>15</v>
      </c>
      <c r="N289" s="4">
        <f>tbl_SaaS_Audit[[#This Row],[Tenure_Months]]*tbl_SaaS_Audit[[#This Row],[Monthly_Revenue]]</f>
        <v>138690.15</v>
      </c>
      <c r="O289" s="3" t="str" cm="1">
        <f t="array" ref="O28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89" s="4" cm="1">
        <f t="array" ref="P289">_xlfn.IFS(tbl_SaaS_Audit[[#This Row],[Risk_Level]]="CRITICAL RISK",tbl_SaaS_Audit[[#This Row],[Monthly_Revenue]]*12,TRUE,0)</f>
        <v>0</v>
      </c>
    </row>
    <row r="290" spans="1:16">
      <c r="A290" s="1">
        <v>289</v>
      </c>
      <c r="B290" s="1" t="s">
        <v>202</v>
      </c>
      <c r="C290" s="1" t="s">
        <v>13</v>
      </c>
      <c r="D290" s="2">
        <v>45505</v>
      </c>
      <c r="E290" s="1" t="s">
        <v>32</v>
      </c>
      <c r="F290" s="4">
        <v>11909.32</v>
      </c>
      <c r="G290" s="1" t="s">
        <v>36</v>
      </c>
      <c r="H290" s="2">
        <v>46150</v>
      </c>
      <c r="I290" s="1">
        <v>13</v>
      </c>
      <c r="J290" s="1" t="s">
        <v>37</v>
      </c>
      <c r="K290" s="1" t="str">
        <f>_xlfn.TEXTBEFORE(tbl_SaaS_Audit[[#This Row],[region]],"-")</f>
        <v>MEA</v>
      </c>
      <c r="L290" s="8" t="str">
        <f>_xlfn.TEXTAFTER(tbl_SaaS_Audit[[#This Row],[region]],"-")</f>
        <v>EGY</v>
      </c>
      <c r="M290" s="8">
        <f t="shared" si="4"/>
        <v>25</v>
      </c>
      <c r="N290" s="4">
        <f>tbl_SaaS_Audit[[#This Row],[Tenure_Months]]*tbl_SaaS_Audit[[#This Row],[Monthly_Revenue]]</f>
        <v>297733</v>
      </c>
      <c r="O290" s="3" t="str" cm="1">
        <f t="array" ref="O29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0" s="4" cm="1">
        <f t="array" ref="P290">_xlfn.IFS(tbl_SaaS_Audit[[#This Row],[Risk_Level]]="CRITICAL RISK",tbl_SaaS_Audit[[#This Row],[Monthly_Revenue]]*12,TRUE,0)</f>
        <v>0</v>
      </c>
    </row>
    <row r="291" spans="1:16">
      <c r="A291" s="1">
        <v>290</v>
      </c>
      <c r="B291" s="1" t="s">
        <v>243</v>
      </c>
      <c r="C291" s="1" t="s">
        <v>13</v>
      </c>
      <c r="D291" s="2">
        <v>45509</v>
      </c>
      <c r="E291" s="1" t="s">
        <v>39</v>
      </c>
      <c r="F291" s="4">
        <v>1137.8599999999999</v>
      </c>
      <c r="G291" s="1" t="s">
        <v>33</v>
      </c>
      <c r="H291" s="2">
        <v>45969</v>
      </c>
      <c r="I291" s="1">
        <v>4</v>
      </c>
      <c r="J291" s="1" t="s">
        <v>51</v>
      </c>
      <c r="K291" s="1" t="str">
        <f>_xlfn.TEXTBEFORE(tbl_SaaS_Audit[[#This Row],[region]],"-")</f>
        <v>NA</v>
      </c>
      <c r="L291" s="8" t="str">
        <f>_xlfn.TEXTAFTER(tbl_SaaS_Audit[[#This Row],[region]],"-")</f>
        <v>EAST</v>
      </c>
      <c r="M291" s="8">
        <f t="shared" si="4"/>
        <v>15</v>
      </c>
      <c r="N291" s="4">
        <f>tbl_SaaS_Audit[[#This Row],[Tenure_Months]]*tbl_SaaS_Audit[[#This Row],[Monthly_Revenue]]</f>
        <v>17067.899999999998</v>
      </c>
      <c r="O291" s="3" t="str" cm="1">
        <f t="array" ref="O29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1" s="4" cm="1">
        <f t="array" ref="P291">_xlfn.IFS(tbl_SaaS_Audit[[#This Row],[Risk_Level]]="CRITICAL RISK",tbl_SaaS_Audit[[#This Row],[Monthly_Revenue]]*12,TRUE,0)</f>
        <v>0</v>
      </c>
    </row>
    <row r="292" spans="1:16">
      <c r="A292" s="1">
        <v>291</v>
      </c>
      <c r="B292" s="1" t="s">
        <v>246</v>
      </c>
      <c r="C292" s="1" t="s">
        <v>14</v>
      </c>
      <c r="D292" s="2">
        <v>45822</v>
      </c>
      <c r="E292" s="1" t="s">
        <v>39</v>
      </c>
      <c r="F292" s="4">
        <v>4093.96</v>
      </c>
      <c r="G292" s="1" t="s">
        <v>33</v>
      </c>
      <c r="H292" s="2">
        <v>46024</v>
      </c>
      <c r="I292" s="1">
        <v>14</v>
      </c>
      <c r="J292" s="1" t="s">
        <v>51</v>
      </c>
      <c r="K292" s="1" t="str">
        <f>_xlfn.TEXTBEFORE(tbl_SaaS_Audit[[#This Row],[region]],"-")</f>
        <v>NA</v>
      </c>
      <c r="L292" s="8" t="str">
        <f>_xlfn.TEXTAFTER(tbl_SaaS_Audit[[#This Row],[region]],"-")</f>
        <v>EAST</v>
      </c>
      <c r="M292" s="8">
        <f t="shared" si="4"/>
        <v>7</v>
      </c>
      <c r="N292" s="4">
        <f>tbl_SaaS_Audit[[#This Row],[Tenure_Months]]*tbl_SaaS_Audit[[#This Row],[Monthly_Revenue]]</f>
        <v>28657.72</v>
      </c>
      <c r="O292" s="3" t="str" cm="1">
        <f t="array" ref="O29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2" s="4" cm="1">
        <f t="array" ref="P292">_xlfn.IFS(tbl_SaaS_Audit[[#This Row],[Risk_Level]]="CRITICAL RISK",tbl_SaaS_Audit[[#This Row],[Monthly_Revenue]]*12,TRUE,0)</f>
        <v>0</v>
      </c>
    </row>
    <row r="293" spans="1:16">
      <c r="A293" s="1">
        <v>292</v>
      </c>
      <c r="B293" s="1" t="s">
        <v>247</v>
      </c>
      <c r="C293" s="1" t="s">
        <v>11</v>
      </c>
      <c r="D293" s="2">
        <v>45322</v>
      </c>
      <c r="E293" s="1" t="s">
        <v>32</v>
      </c>
      <c r="F293" s="4">
        <v>2704.09</v>
      </c>
      <c r="G293" s="1" t="s">
        <v>33</v>
      </c>
      <c r="H293" s="2">
        <v>46200</v>
      </c>
      <c r="I293" s="1">
        <v>10</v>
      </c>
      <c r="J293" s="1" t="s">
        <v>45</v>
      </c>
      <c r="K293" s="1" t="str">
        <f>_xlfn.TEXTBEFORE(tbl_SaaS_Audit[[#This Row],[region]],"-")</f>
        <v>EU</v>
      </c>
      <c r="L293" s="8" t="str">
        <f>_xlfn.TEXTAFTER(tbl_SaaS_Audit[[#This Row],[region]],"-")</f>
        <v>CENTRAL</v>
      </c>
      <c r="M293" s="8">
        <f t="shared" si="4"/>
        <v>29</v>
      </c>
      <c r="N293" s="4">
        <f>tbl_SaaS_Audit[[#This Row],[Tenure_Months]]*tbl_SaaS_Audit[[#This Row],[Monthly_Revenue]]</f>
        <v>78418.61</v>
      </c>
      <c r="O293" s="3" t="str" cm="1">
        <f t="array" ref="O29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293" s="4" cm="1">
        <f t="array" ref="P293">_xlfn.IFS(tbl_SaaS_Audit[[#This Row],[Risk_Level]]="CRITICAL RISK",tbl_SaaS_Audit[[#This Row],[Monthly_Revenue]]*12,TRUE,0)</f>
        <v>0</v>
      </c>
    </row>
    <row r="294" spans="1:16">
      <c r="A294" s="1">
        <v>293</v>
      </c>
      <c r="B294" s="1" t="s">
        <v>248</v>
      </c>
      <c r="C294" s="1" t="s">
        <v>15</v>
      </c>
      <c r="D294" s="2">
        <v>45806</v>
      </c>
      <c r="E294" s="1" t="s">
        <v>32</v>
      </c>
      <c r="F294" s="4">
        <v>5600.01</v>
      </c>
      <c r="G294" s="1" t="s">
        <v>33</v>
      </c>
      <c r="H294" s="2">
        <v>45915</v>
      </c>
      <c r="I294" s="1">
        <v>2</v>
      </c>
      <c r="J294" s="1" t="s">
        <v>51</v>
      </c>
      <c r="K294" s="1" t="str">
        <f>_xlfn.TEXTBEFORE(tbl_SaaS_Audit[[#This Row],[region]],"-")</f>
        <v>NA</v>
      </c>
      <c r="L294" s="8" t="str">
        <f>_xlfn.TEXTAFTER(tbl_SaaS_Audit[[#This Row],[region]],"-")</f>
        <v>EAST</v>
      </c>
      <c r="M294" s="8">
        <f t="shared" si="4"/>
        <v>4</v>
      </c>
      <c r="N294" s="4">
        <f>tbl_SaaS_Audit[[#This Row],[Tenure_Months]]*tbl_SaaS_Audit[[#This Row],[Monthly_Revenue]]</f>
        <v>22400.04</v>
      </c>
      <c r="O294" s="3" t="str" cm="1">
        <f t="array" ref="O29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4" s="4" cm="1">
        <f t="array" ref="P294">_xlfn.IFS(tbl_SaaS_Audit[[#This Row],[Risk_Level]]="CRITICAL RISK",tbl_SaaS_Audit[[#This Row],[Monthly_Revenue]]*12,TRUE,0)</f>
        <v>0</v>
      </c>
    </row>
    <row r="295" spans="1:16">
      <c r="A295" s="1">
        <v>294</v>
      </c>
      <c r="B295" s="1" t="s">
        <v>249</v>
      </c>
      <c r="C295" s="1" t="s">
        <v>12</v>
      </c>
      <c r="D295" s="2">
        <v>45577</v>
      </c>
      <c r="E295" s="1" t="s">
        <v>41</v>
      </c>
      <c r="F295" s="4">
        <v>5236.5600000000004</v>
      </c>
      <c r="G295" s="1" t="s">
        <v>36</v>
      </c>
      <c r="H295" s="2">
        <v>45913</v>
      </c>
      <c r="I295" s="1">
        <v>1</v>
      </c>
      <c r="J295" s="1" t="s">
        <v>51</v>
      </c>
      <c r="K295" s="1" t="str">
        <f>_xlfn.TEXTBEFORE(tbl_SaaS_Audit[[#This Row],[region]],"-")</f>
        <v>NA</v>
      </c>
      <c r="L295" s="8" t="str">
        <f>_xlfn.TEXTAFTER(tbl_SaaS_Audit[[#This Row],[region]],"-")</f>
        <v>EAST</v>
      </c>
      <c r="M295" s="8">
        <f t="shared" si="4"/>
        <v>23</v>
      </c>
      <c r="N295" s="4">
        <f>tbl_SaaS_Audit[[#This Row],[Tenure_Months]]*tbl_SaaS_Audit[[#This Row],[Monthly_Revenue]]</f>
        <v>120440.88</v>
      </c>
      <c r="O295" s="3" t="str" cm="1">
        <f t="array" ref="O29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5" s="4" cm="1">
        <f t="array" ref="P295">_xlfn.IFS(tbl_SaaS_Audit[[#This Row],[Risk_Level]]="CRITICAL RISK",tbl_SaaS_Audit[[#This Row],[Monthly_Revenue]]*12,TRUE,0)</f>
        <v>0</v>
      </c>
    </row>
    <row r="296" spans="1:16">
      <c r="A296" s="1">
        <v>295</v>
      </c>
      <c r="B296" s="1" t="s">
        <v>212</v>
      </c>
      <c r="C296" s="1" t="s">
        <v>13</v>
      </c>
      <c r="D296" s="2">
        <v>45694</v>
      </c>
      <c r="E296" s="1" t="s">
        <v>41</v>
      </c>
      <c r="F296" s="4">
        <v>3568.42</v>
      </c>
      <c r="G296" s="1" t="s">
        <v>36</v>
      </c>
      <c r="H296" s="2">
        <v>45959</v>
      </c>
      <c r="I296" s="1">
        <v>4</v>
      </c>
      <c r="J296" s="1" t="s">
        <v>45</v>
      </c>
      <c r="K296" s="1" t="str">
        <f>_xlfn.TEXTBEFORE(tbl_SaaS_Audit[[#This Row],[region]],"-")</f>
        <v>EU</v>
      </c>
      <c r="L296" s="8" t="str">
        <f>_xlfn.TEXTAFTER(tbl_SaaS_Audit[[#This Row],[region]],"-")</f>
        <v>CENTRAL</v>
      </c>
      <c r="M296" s="8">
        <f t="shared" si="4"/>
        <v>19</v>
      </c>
      <c r="N296" s="4">
        <f>tbl_SaaS_Audit[[#This Row],[Tenure_Months]]*tbl_SaaS_Audit[[#This Row],[Monthly_Revenue]]</f>
        <v>67799.98</v>
      </c>
      <c r="O296" s="3" t="str" cm="1">
        <f t="array" ref="O29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6" s="4" cm="1">
        <f t="array" ref="P296">_xlfn.IFS(tbl_SaaS_Audit[[#This Row],[Risk_Level]]="CRITICAL RISK",tbl_SaaS_Audit[[#This Row],[Monthly_Revenue]]*12,TRUE,0)</f>
        <v>0</v>
      </c>
    </row>
    <row r="297" spans="1:16">
      <c r="A297" s="1">
        <v>296</v>
      </c>
      <c r="B297" s="1" t="s">
        <v>35</v>
      </c>
      <c r="C297" s="1" t="s">
        <v>15</v>
      </c>
      <c r="D297" s="2">
        <v>45593</v>
      </c>
      <c r="E297" s="1" t="s">
        <v>32</v>
      </c>
      <c r="F297" s="4">
        <v>14836.48</v>
      </c>
      <c r="G297" s="1" t="s">
        <v>42</v>
      </c>
      <c r="H297" s="2">
        <v>45997</v>
      </c>
      <c r="I297" s="1">
        <v>1</v>
      </c>
      <c r="J297" s="1" t="s">
        <v>51</v>
      </c>
      <c r="K297" s="1" t="str">
        <f>_xlfn.TEXTBEFORE(tbl_SaaS_Audit[[#This Row],[region]],"-")</f>
        <v>NA</v>
      </c>
      <c r="L297" s="8" t="str">
        <f>_xlfn.TEXTAFTER(tbl_SaaS_Audit[[#This Row],[region]],"-")</f>
        <v>EAST</v>
      </c>
      <c r="M297" s="8">
        <f t="shared" si="4"/>
        <v>23</v>
      </c>
      <c r="N297" s="4">
        <f>tbl_SaaS_Audit[[#This Row],[Tenure_Months]]*tbl_SaaS_Audit[[#This Row],[Monthly_Revenue]]</f>
        <v>341239.03999999998</v>
      </c>
      <c r="O297" s="3" t="str" cm="1">
        <f t="array" ref="O29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7" s="4" cm="1">
        <f t="array" ref="P297">_xlfn.IFS(tbl_SaaS_Audit[[#This Row],[Risk_Level]]="CRITICAL RISK",tbl_SaaS_Audit[[#This Row],[Monthly_Revenue]]*12,TRUE,0)</f>
        <v>0</v>
      </c>
    </row>
    <row r="298" spans="1:16">
      <c r="A298" s="1">
        <v>297</v>
      </c>
      <c r="B298" s="1" t="s">
        <v>210</v>
      </c>
      <c r="C298" s="1" t="s">
        <v>14</v>
      </c>
      <c r="D298" s="2">
        <v>45331</v>
      </c>
      <c r="E298" s="1" t="s">
        <v>32</v>
      </c>
      <c r="F298" s="4">
        <v>5904.7</v>
      </c>
      <c r="G298" s="1" t="s">
        <v>36</v>
      </c>
      <c r="H298" s="2">
        <v>46225</v>
      </c>
      <c r="I298" s="1">
        <v>3</v>
      </c>
      <c r="J298" s="1" t="s">
        <v>45</v>
      </c>
      <c r="K298" s="1" t="str">
        <f>_xlfn.TEXTBEFORE(tbl_SaaS_Audit[[#This Row],[region]],"-")</f>
        <v>EU</v>
      </c>
      <c r="L298" s="8" t="str">
        <f>_xlfn.TEXTAFTER(tbl_SaaS_Audit[[#This Row],[region]],"-")</f>
        <v>CENTRAL</v>
      </c>
      <c r="M298" s="8">
        <f t="shared" si="4"/>
        <v>31</v>
      </c>
      <c r="N298" s="4">
        <f>tbl_SaaS_Audit[[#This Row],[Tenure_Months]]*tbl_SaaS_Audit[[#This Row],[Monthly_Revenue]]</f>
        <v>183045.69999999998</v>
      </c>
      <c r="O298" s="3" t="str" cm="1">
        <f t="array" ref="O29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8" s="4" cm="1">
        <f t="array" ref="P298">_xlfn.IFS(tbl_SaaS_Audit[[#This Row],[Risk_Level]]="CRITICAL RISK",tbl_SaaS_Audit[[#This Row],[Monthly_Revenue]]*12,TRUE,0)</f>
        <v>0</v>
      </c>
    </row>
    <row r="299" spans="1:16">
      <c r="A299" s="1">
        <v>298</v>
      </c>
      <c r="B299" s="1" t="s">
        <v>93</v>
      </c>
      <c r="C299" s="1" t="s">
        <v>11</v>
      </c>
      <c r="D299" s="2">
        <v>45633</v>
      </c>
      <c r="E299" s="1" t="s">
        <v>32</v>
      </c>
      <c r="F299" s="4">
        <v>2331.6999999999998</v>
      </c>
      <c r="G299" s="1" t="s">
        <v>42</v>
      </c>
      <c r="H299" s="2">
        <v>46102</v>
      </c>
      <c r="I299" s="1">
        <v>2</v>
      </c>
      <c r="J299" s="1" t="s">
        <v>47</v>
      </c>
      <c r="K299" s="1" t="str">
        <f>_xlfn.TEXTBEFORE(tbl_SaaS_Audit[[#This Row],[region]],"-")</f>
        <v>NA</v>
      </c>
      <c r="L299" s="8" t="str">
        <f>_xlfn.TEXTAFTER(tbl_SaaS_Audit[[#This Row],[region]],"-")</f>
        <v>WEST</v>
      </c>
      <c r="M299" s="8">
        <f t="shared" si="4"/>
        <v>21</v>
      </c>
      <c r="N299" s="4">
        <f>tbl_SaaS_Audit[[#This Row],[Tenure_Months]]*tbl_SaaS_Audit[[#This Row],[Monthly_Revenue]]</f>
        <v>48965.7</v>
      </c>
      <c r="O299" s="3" t="str" cm="1">
        <f t="array" ref="O29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299" s="4" cm="1">
        <f t="array" ref="P299">_xlfn.IFS(tbl_SaaS_Audit[[#This Row],[Risk_Level]]="CRITICAL RISK",tbl_SaaS_Audit[[#This Row],[Monthly_Revenue]]*12,TRUE,0)</f>
        <v>0</v>
      </c>
    </row>
    <row r="300" spans="1:16">
      <c r="A300" s="1">
        <v>299</v>
      </c>
      <c r="B300" s="1" t="s">
        <v>107</v>
      </c>
      <c r="C300" s="1" t="s">
        <v>15</v>
      </c>
      <c r="D300" s="2">
        <v>45459</v>
      </c>
      <c r="E300" s="1" t="s">
        <v>32</v>
      </c>
      <c r="F300" s="4">
        <v>6515.38</v>
      </c>
      <c r="G300" s="1" t="s">
        <v>33</v>
      </c>
      <c r="H300" s="1"/>
      <c r="I300" s="1">
        <v>17</v>
      </c>
      <c r="J300" s="1" t="s">
        <v>37</v>
      </c>
      <c r="K300" s="1" t="str">
        <f>_xlfn.TEXTBEFORE(tbl_SaaS_Audit[[#This Row],[region]],"-")</f>
        <v>MEA</v>
      </c>
      <c r="L300" s="8" t="str">
        <f>_xlfn.TEXTAFTER(tbl_SaaS_Audit[[#This Row],[region]],"-")</f>
        <v>EGY</v>
      </c>
      <c r="M300" s="8">
        <f t="shared" si="4"/>
        <v>27</v>
      </c>
      <c r="N300" s="4">
        <f>tbl_SaaS_Audit[[#This Row],[Tenure_Months]]*tbl_SaaS_Audit[[#This Row],[Monthly_Revenue]]</f>
        <v>175915.26</v>
      </c>
      <c r="O300" s="3" t="str" cm="1">
        <f t="array" ref="O30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00" s="4" cm="1">
        <f t="array" ref="P300">_xlfn.IFS(tbl_SaaS_Audit[[#This Row],[Risk_Level]]="CRITICAL RISK",tbl_SaaS_Audit[[#This Row],[Monthly_Revenue]]*12,TRUE,0)</f>
        <v>0</v>
      </c>
    </row>
    <row r="301" spans="1:16">
      <c r="A301" s="1">
        <v>300</v>
      </c>
      <c r="B301" s="1" t="s">
        <v>250</v>
      </c>
      <c r="C301" s="1" t="s">
        <v>14</v>
      </c>
      <c r="D301" s="2">
        <v>45729</v>
      </c>
      <c r="E301" s="1" t="s">
        <v>41</v>
      </c>
      <c r="F301" s="4">
        <v>12030.94</v>
      </c>
      <c r="G301" s="1" t="s">
        <v>49</v>
      </c>
      <c r="H301" s="1"/>
      <c r="I301" s="1">
        <v>17</v>
      </c>
      <c r="J301" s="1" t="s">
        <v>34</v>
      </c>
      <c r="K301" s="1" t="str">
        <f>_xlfn.TEXTBEFORE(tbl_SaaS_Audit[[#This Row],[region]],"-")</f>
        <v>APAC</v>
      </c>
      <c r="L301" s="8" t="str">
        <f>_xlfn.TEXTAFTER(tbl_SaaS_Audit[[#This Row],[region]],"-")</f>
        <v>SGP</v>
      </c>
      <c r="M301" s="8">
        <f t="shared" si="4"/>
        <v>18</v>
      </c>
      <c r="N301" s="4">
        <f>tbl_SaaS_Audit[[#This Row],[Tenure_Months]]*tbl_SaaS_Audit[[#This Row],[Monthly_Revenue]]</f>
        <v>216556.92</v>
      </c>
      <c r="O301" s="3" t="str" cm="1">
        <f t="array" ref="O30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01" s="4" cm="1">
        <f t="array" ref="P301">_xlfn.IFS(tbl_SaaS_Audit[[#This Row],[Risk_Level]]="CRITICAL RISK",tbl_SaaS_Audit[[#This Row],[Monthly_Revenue]]*12,TRUE,0)</f>
        <v>0</v>
      </c>
    </row>
    <row r="302" spans="1:16">
      <c r="A302" s="1">
        <v>301</v>
      </c>
      <c r="B302" s="1" t="s">
        <v>251</v>
      </c>
      <c r="C302" s="1" t="s">
        <v>12</v>
      </c>
      <c r="D302" s="2">
        <v>45606</v>
      </c>
      <c r="E302" s="1" t="s">
        <v>39</v>
      </c>
      <c r="F302" s="4">
        <v>1811.75</v>
      </c>
      <c r="G302" s="1" t="s">
        <v>36</v>
      </c>
      <c r="H302" s="1"/>
      <c r="I302" s="1">
        <v>7</v>
      </c>
      <c r="J302" s="1" t="s">
        <v>51</v>
      </c>
      <c r="K302" s="1" t="str">
        <f>_xlfn.TEXTBEFORE(tbl_SaaS_Audit[[#This Row],[region]],"-")</f>
        <v>NA</v>
      </c>
      <c r="L302" s="8" t="str">
        <f>_xlfn.TEXTAFTER(tbl_SaaS_Audit[[#This Row],[region]],"-")</f>
        <v>EAST</v>
      </c>
      <c r="M302" s="8">
        <f t="shared" si="4"/>
        <v>22</v>
      </c>
      <c r="N302" s="4">
        <f>tbl_SaaS_Audit[[#This Row],[Tenure_Months]]*tbl_SaaS_Audit[[#This Row],[Monthly_Revenue]]</f>
        <v>39858.5</v>
      </c>
      <c r="O302" s="3" t="str" cm="1">
        <f t="array" ref="O30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02" s="4" cm="1">
        <f t="array" ref="P302">_xlfn.IFS(tbl_SaaS_Audit[[#This Row],[Risk_Level]]="CRITICAL RISK",tbl_SaaS_Audit[[#This Row],[Monthly_Revenue]]*12,TRUE,0)</f>
        <v>0</v>
      </c>
    </row>
    <row r="303" spans="1:16">
      <c r="A303" s="1">
        <v>302</v>
      </c>
      <c r="B303" s="1" t="s">
        <v>252</v>
      </c>
      <c r="C303" s="1" t="s">
        <v>11</v>
      </c>
      <c r="D303" s="2">
        <v>45512</v>
      </c>
      <c r="E303" s="1" t="s">
        <v>39</v>
      </c>
      <c r="F303" s="4">
        <v>4512.88</v>
      </c>
      <c r="G303" s="1" t="s">
        <v>36</v>
      </c>
      <c r="H303" s="2">
        <v>46125</v>
      </c>
      <c r="I303" s="1">
        <v>0</v>
      </c>
      <c r="J303" s="1" t="s">
        <v>51</v>
      </c>
      <c r="K303" s="1" t="str">
        <f>_xlfn.TEXTBEFORE(tbl_SaaS_Audit[[#This Row],[region]],"-")</f>
        <v>NA</v>
      </c>
      <c r="L303" s="8" t="str">
        <f>_xlfn.TEXTAFTER(tbl_SaaS_Audit[[#This Row],[region]],"-")</f>
        <v>EAST</v>
      </c>
      <c r="M303" s="8">
        <f t="shared" si="4"/>
        <v>25</v>
      </c>
      <c r="N303" s="4">
        <f>tbl_SaaS_Audit[[#This Row],[Tenure_Months]]*tbl_SaaS_Audit[[#This Row],[Monthly_Revenue]]</f>
        <v>112822</v>
      </c>
      <c r="O303" s="3" t="str" cm="1">
        <f t="array" ref="O30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03" s="4" cm="1">
        <f t="array" ref="P303">_xlfn.IFS(tbl_SaaS_Audit[[#This Row],[Risk_Level]]="CRITICAL RISK",tbl_SaaS_Audit[[#This Row],[Monthly_Revenue]]*12,TRUE,0)</f>
        <v>0</v>
      </c>
    </row>
    <row r="304" spans="1:16">
      <c r="A304" s="1">
        <v>303</v>
      </c>
      <c r="B304" s="1" t="s">
        <v>253</v>
      </c>
      <c r="C304" s="1" t="s">
        <v>13</v>
      </c>
      <c r="D304" s="2">
        <v>45481</v>
      </c>
      <c r="E304" s="1" t="s">
        <v>39</v>
      </c>
      <c r="F304" s="4">
        <v>3659.31</v>
      </c>
      <c r="G304" s="1" t="s">
        <v>33</v>
      </c>
      <c r="H304" s="1"/>
      <c r="I304" s="1">
        <v>16</v>
      </c>
      <c r="J304" s="1" t="s">
        <v>37</v>
      </c>
      <c r="K304" s="1" t="str">
        <f>_xlfn.TEXTBEFORE(tbl_SaaS_Audit[[#This Row],[region]],"-")</f>
        <v>MEA</v>
      </c>
      <c r="L304" s="8" t="str">
        <f>_xlfn.TEXTAFTER(tbl_SaaS_Audit[[#This Row],[region]],"-")</f>
        <v>EGY</v>
      </c>
      <c r="M304" s="8">
        <f t="shared" si="4"/>
        <v>26</v>
      </c>
      <c r="N304" s="4">
        <f>tbl_SaaS_Audit[[#This Row],[Tenure_Months]]*tbl_SaaS_Audit[[#This Row],[Monthly_Revenue]]</f>
        <v>95142.06</v>
      </c>
      <c r="O304" s="3" t="str" cm="1">
        <f t="array" ref="O30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04" s="4" cm="1">
        <f t="array" ref="P304">_xlfn.IFS(tbl_SaaS_Audit[[#This Row],[Risk_Level]]="CRITICAL RISK",tbl_SaaS_Audit[[#This Row],[Monthly_Revenue]]*12,TRUE,0)</f>
        <v>0</v>
      </c>
    </row>
    <row r="305" spans="1:16">
      <c r="A305" s="1">
        <v>304</v>
      </c>
      <c r="B305" s="1" t="s">
        <v>254</v>
      </c>
      <c r="C305" s="1" t="s">
        <v>12</v>
      </c>
      <c r="D305" s="2">
        <v>45328</v>
      </c>
      <c r="E305" s="1" t="s">
        <v>39</v>
      </c>
      <c r="F305" s="4">
        <v>12919.69</v>
      </c>
      <c r="G305" s="1" t="s">
        <v>49</v>
      </c>
      <c r="H305" s="1"/>
      <c r="I305" s="1">
        <v>9</v>
      </c>
      <c r="J305" s="1" t="s">
        <v>34</v>
      </c>
      <c r="K305" s="1" t="str">
        <f>_xlfn.TEXTBEFORE(tbl_SaaS_Audit[[#This Row],[region]],"-")</f>
        <v>APAC</v>
      </c>
      <c r="L305" s="8" t="str">
        <f>_xlfn.TEXTAFTER(tbl_SaaS_Audit[[#This Row],[region]],"-")</f>
        <v>SGP</v>
      </c>
      <c r="M305" s="8">
        <f t="shared" si="4"/>
        <v>31</v>
      </c>
      <c r="N305" s="4">
        <f>tbl_SaaS_Audit[[#This Row],[Tenure_Months]]*tbl_SaaS_Audit[[#This Row],[Monthly_Revenue]]</f>
        <v>400510.39</v>
      </c>
      <c r="O305" s="3" t="str" cm="1">
        <f t="array" ref="O30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05" s="4" cm="1">
        <f t="array" ref="P305">_xlfn.IFS(tbl_SaaS_Audit[[#This Row],[Risk_Level]]="CRITICAL RISK",tbl_SaaS_Audit[[#This Row],[Monthly_Revenue]]*12,TRUE,0)</f>
        <v>0</v>
      </c>
    </row>
    <row r="306" spans="1:16">
      <c r="A306" s="1">
        <v>305</v>
      </c>
      <c r="B306" s="1" t="s">
        <v>255</v>
      </c>
      <c r="C306" s="1" t="s">
        <v>12</v>
      </c>
      <c r="D306" s="2">
        <v>45682</v>
      </c>
      <c r="E306" s="1" t="s">
        <v>41</v>
      </c>
      <c r="F306" s="4">
        <v>8571.1</v>
      </c>
      <c r="G306" s="1" t="s">
        <v>33</v>
      </c>
      <c r="H306" s="2">
        <v>46170</v>
      </c>
      <c r="I306" s="1">
        <v>12</v>
      </c>
      <c r="J306" s="1" t="s">
        <v>34</v>
      </c>
      <c r="K306" s="1" t="str">
        <f>_xlfn.TEXTBEFORE(tbl_SaaS_Audit[[#This Row],[region]],"-")</f>
        <v>APAC</v>
      </c>
      <c r="L306" s="8" t="str">
        <f>_xlfn.TEXTAFTER(tbl_SaaS_Audit[[#This Row],[region]],"-")</f>
        <v>SGP</v>
      </c>
      <c r="M306" s="8">
        <f t="shared" si="4"/>
        <v>16</v>
      </c>
      <c r="N306" s="4">
        <f>tbl_SaaS_Audit[[#This Row],[Tenure_Months]]*tbl_SaaS_Audit[[#This Row],[Monthly_Revenue]]</f>
        <v>137137.60000000001</v>
      </c>
      <c r="O306" s="3" t="str" cm="1">
        <f t="array" ref="O30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06" s="4" cm="1">
        <f t="array" ref="P306">_xlfn.IFS(tbl_SaaS_Audit[[#This Row],[Risk_Level]]="CRITICAL RISK",tbl_SaaS_Audit[[#This Row],[Monthly_Revenue]]*12,TRUE,0)</f>
        <v>0</v>
      </c>
    </row>
    <row r="307" spans="1:16">
      <c r="A307" s="1">
        <v>306</v>
      </c>
      <c r="B307" s="1" t="s">
        <v>255</v>
      </c>
      <c r="C307" s="1" t="s">
        <v>13</v>
      </c>
      <c r="D307" s="2">
        <v>45759</v>
      </c>
      <c r="E307" s="1" t="s">
        <v>41</v>
      </c>
      <c r="F307" s="4">
        <v>12466.02</v>
      </c>
      <c r="G307" s="1" t="s">
        <v>36</v>
      </c>
      <c r="H307" s="2">
        <v>46186</v>
      </c>
      <c r="I307" s="1">
        <v>5</v>
      </c>
      <c r="J307" s="1" t="s">
        <v>37</v>
      </c>
      <c r="K307" s="1" t="str">
        <f>_xlfn.TEXTBEFORE(tbl_SaaS_Audit[[#This Row],[region]],"-")</f>
        <v>MEA</v>
      </c>
      <c r="L307" s="8" t="str">
        <f>_xlfn.TEXTAFTER(tbl_SaaS_Audit[[#This Row],[region]],"-")</f>
        <v>EGY</v>
      </c>
      <c r="M307" s="8">
        <f t="shared" si="4"/>
        <v>17</v>
      </c>
      <c r="N307" s="4">
        <f>tbl_SaaS_Audit[[#This Row],[Tenure_Months]]*tbl_SaaS_Audit[[#This Row],[Monthly_Revenue]]</f>
        <v>211922.34</v>
      </c>
      <c r="O307" s="3" t="str" cm="1">
        <f t="array" ref="O30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07" s="4" cm="1">
        <f t="array" ref="P307">_xlfn.IFS(tbl_SaaS_Audit[[#This Row],[Risk_Level]]="CRITICAL RISK",tbl_SaaS_Audit[[#This Row],[Monthly_Revenue]]*12,TRUE,0)</f>
        <v>0</v>
      </c>
    </row>
    <row r="308" spans="1:16">
      <c r="A308" s="1">
        <v>307</v>
      </c>
      <c r="B308" s="1" t="s">
        <v>178</v>
      </c>
      <c r="C308" s="1" t="s">
        <v>13</v>
      </c>
      <c r="D308" s="2">
        <v>45649</v>
      </c>
      <c r="E308" s="1" t="s">
        <v>39</v>
      </c>
      <c r="F308" s="4">
        <v>8406.18</v>
      </c>
      <c r="G308" s="1" t="s">
        <v>36</v>
      </c>
      <c r="H308" s="2">
        <v>45860</v>
      </c>
      <c r="I308" s="1">
        <v>17</v>
      </c>
      <c r="J308" s="1" t="s">
        <v>51</v>
      </c>
      <c r="K308" s="1" t="str">
        <f>_xlfn.TEXTBEFORE(tbl_SaaS_Audit[[#This Row],[region]],"-")</f>
        <v>NA</v>
      </c>
      <c r="L308" s="8" t="str">
        <f>_xlfn.TEXTAFTER(tbl_SaaS_Audit[[#This Row],[region]],"-")</f>
        <v>EAST</v>
      </c>
      <c r="M308" s="8">
        <f t="shared" si="4"/>
        <v>21</v>
      </c>
      <c r="N308" s="4">
        <f>tbl_SaaS_Audit[[#This Row],[Tenure_Months]]*tbl_SaaS_Audit[[#This Row],[Monthly_Revenue]]</f>
        <v>176529.78</v>
      </c>
      <c r="O308" s="3" t="str" cm="1">
        <f t="array" ref="O30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08" s="4" cm="1">
        <f t="array" ref="P308">_xlfn.IFS(tbl_SaaS_Audit[[#This Row],[Risk_Level]]="CRITICAL RISK",tbl_SaaS_Audit[[#This Row],[Monthly_Revenue]]*12,TRUE,0)</f>
        <v>0</v>
      </c>
    </row>
    <row r="309" spans="1:16">
      <c r="A309" s="1">
        <v>308</v>
      </c>
      <c r="B309" s="1" t="s">
        <v>211</v>
      </c>
      <c r="C309" s="1" t="s">
        <v>15</v>
      </c>
      <c r="D309" s="2">
        <v>45650</v>
      </c>
      <c r="E309" s="1" t="s">
        <v>41</v>
      </c>
      <c r="F309" s="4">
        <v>1870.39</v>
      </c>
      <c r="G309" s="1" t="s">
        <v>49</v>
      </c>
      <c r="H309" s="2">
        <v>46140</v>
      </c>
      <c r="I309" s="1">
        <v>1</v>
      </c>
      <c r="J309" s="1" t="s">
        <v>51</v>
      </c>
      <c r="K309" s="1" t="str">
        <f>_xlfn.TEXTBEFORE(tbl_SaaS_Audit[[#This Row],[region]],"-")</f>
        <v>NA</v>
      </c>
      <c r="L309" s="8" t="str">
        <f>_xlfn.TEXTAFTER(tbl_SaaS_Audit[[#This Row],[region]],"-")</f>
        <v>EAST</v>
      </c>
      <c r="M309" s="8">
        <f t="shared" si="4"/>
        <v>21</v>
      </c>
      <c r="N309" s="4">
        <f>tbl_SaaS_Audit[[#This Row],[Tenure_Months]]*tbl_SaaS_Audit[[#This Row],[Monthly_Revenue]]</f>
        <v>39278.19</v>
      </c>
      <c r="O309" s="3" t="str" cm="1">
        <f t="array" ref="O30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09" s="4" cm="1">
        <f t="array" ref="P309">_xlfn.IFS(tbl_SaaS_Audit[[#This Row],[Risk_Level]]="CRITICAL RISK",tbl_SaaS_Audit[[#This Row],[Monthly_Revenue]]*12,TRUE,0)</f>
        <v>0</v>
      </c>
    </row>
    <row r="310" spans="1:16">
      <c r="A310" s="1">
        <v>309</v>
      </c>
      <c r="B310" s="1" t="s">
        <v>256</v>
      </c>
      <c r="C310" s="1" t="s">
        <v>13</v>
      </c>
      <c r="D310" s="2">
        <v>45574</v>
      </c>
      <c r="E310" s="1" t="s">
        <v>39</v>
      </c>
      <c r="F310" s="4">
        <v>811.86</v>
      </c>
      <c r="G310" s="1" t="s">
        <v>49</v>
      </c>
      <c r="H310" s="2">
        <v>45902</v>
      </c>
      <c r="I310" s="1">
        <v>5</v>
      </c>
      <c r="J310" s="1" t="s">
        <v>45</v>
      </c>
      <c r="K310" s="1" t="str">
        <f>_xlfn.TEXTBEFORE(tbl_SaaS_Audit[[#This Row],[region]],"-")</f>
        <v>EU</v>
      </c>
      <c r="L310" s="8" t="str">
        <f>_xlfn.TEXTAFTER(tbl_SaaS_Audit[[#This Row],[region]],"-")</f>
        <v>CENTRAL</v>
      </c>
      <c r="M310" s="8">
        <f t="shared" si="4"/>
        <v>23</v>
      </c>
      <c r="N310" s="4">
        <f>tbl_SaaS_Audit[[#This Row],[Tenure_Months]]*tbl_SaaS_Audit[[#This Row],[Monthly_Revenue]]</f>
        <v>18672.78</v>
      </c>
      <c r="O310" s="3" t="str" cm="1">
        <f t="array" ref="O31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10" s="4" cm="1">
        <f t="array" ref="P310">_xlfn.IFS(tbl_SaaS_Audit[[#This Row],[Risk_Level]]="CRITICAL RISK",tbl_SaaS_Audit[[#This Row],[Monthly_Revenue]]*12,TRUE,0)</f>
        <v>0</v>
      </c>
    </row>
    <row r="311" spans="1:16">
      <c r="A311" s="1">
        <v>310</v>
      </c>
      <c r="B311" s="1" t="s">
        <v>139</v>
      </c>
      <c r="C311" s="1" t="s">
        <v>11</v>
      </c>
      <c r="D311" s="2">
        <v>45605</v>
      </c>
      <c r="E311" s="1" t="s">
        <v>39</v>
      </c>
      <c r="F311" s="4">
        <v>10588.62</v>
      </c>
      <c r="G311" s="1" t="s">
        <v>49</v>
      </c>
      <c r="H311" s="2">
        <v>46116</v>
      </c>
      <c r="I311" s="1">
        <v>11</v>
      </c>
      <c r="J311" s="1" t="s">
        <v>37</v>
      </c>
      <c r="K311" s="1" t="str">
        <f>_xlfn.TEXTBEFORE(tbl_SaaS_Audit[[#This Row],[region]],"-")</f>
        <v>MEA</v>
      </c>
      <c r="L311" s="8" t="str">
        <f>_xlfn.TEXTAFTER(tbl_SaaS_Audit[[#This Row],[region]],"-")</f>
        <v>EGY</v>
      </c>
      <c r="M311" s="8">
        <f t="shared" si="4"/>
        <v>22</v>
      </c>
      <c r="N311" s="4">
        <f>tbl_SaaS_Audit[[#This Row],[Tenure_Months]]*tbl_SaaS_Audit[[#This Row],[Monthly_Revenue]]</f>
        <v>232949.64</v>
      </c>
      <c r="O311" s="3" t="str" cm="1">
        <f t="array" ref="O31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11" s="4" cm="1">
        <f t="array" ref="P311">_xlfn.IFS(tbl_SaaS_Audit[[#This Row],[Risk_Level]]="CRITICAL RISK",tbl_SaaS_Audit[[#This Row],[Monthly_Revenue]]*12,TRUE,0)</f>
        <v>0</v>
      </c>
    </row>
    <row r="312" spans="1:16">
      <c r="A312" s="1">
        <v>311</v>
      </c>
      <c r="B312" s="1" t="s">
        <v>237</v>
      </c>
      <c r="C312" s="1" t="s">
        <v>11</v>
      </c>
      <c r="D312" s="2">
        <v>45778</v>
      </c>
      <c r="E312" s="1" t="s">
        <v>41</v>
      </c>
      <c r="F312" s="4">
        <v>825.64</v>
      </c>
      <c r="G312" s="1" t="s">
        <v>49</v>
      </c>
      <c r="H312" s="2">
        <v>46067</v>
      </c>
      <c r="I312" s="1">
        <v>2</v>
      </c>
      <c r="J312" s="1" t="s">
        <v>37</v>
      </c>
      <c r="K312" s="1" t="str">
        <f>_xlfn.TEXTBEFORE(tbl_SaaS_Audit[[#This Row],[region]],"-")</f>
        <v>MEA</v>
      </c>
      <c r="L312" s="8" t="str">
        <f>_xlfn.TEXTAFTER(tbl_SaaS_Audit[[#This Row],[region]],"-")</f>
        <v>EGY</v>
      </c>
      <c r="M312" s="8">
        <f t="shared" si="4"/>
        <v>16</v>
      </c>
      <c r="N312" s="4">
        <f>tbl_SaaS_Audit[[#This Row],[Tenure_Months]]*tbl_SaaS_Audit[[#This Row],[Monthly_Revenue]]</f>
        <v>13210.24</v>
      </c>
      <c r="O312" s="3" t="str" cm="1">
        <f t="array" ref="O31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12" s="4" cm="1">
        <f t="array" ref="P312">_xlfn.IFS(tbl_SaaS_Audit[[#This Row],[Risk_Level]]="CRITICAL RISK",tbl_SaaS_Audit[[#This Row],[Monthly_Revenue]]*12,TRUE,0)</f>
        <v>0</v>
      </c>
    </row>
    <row r="313" spans="1:16">
      <c r="A313" s="1">
        <v>312</v>
      </c>
      <c r="B313" s="1" t="s">
        <v>44</v>
      </c>
      <c r="C313" s="1" t="s">
        <v>12</v>
      </c>
      <c r="D313" s="2">
        <v>45688</v>
      </c>
      <c r="E313" s="1" t="s">
        <v>32</v>
      </c>
      <c r="F313" s="4">
        <v>7851.66</v>
      </c>
      <c r="G313" s="1" t="s">
        <v>33</v>
      </c>
      <c r="H313" s="2">
        <v>46241</v>
      </c>
      <c r="I313" s="1">
        <v>17</v>
      </c>
      <c r="J313" s="1" t="s">
        <v>37</v>
      </c>
      <c r="K313" s="1" t="str">
        <f>_xlfn.TEXTBEFORE(tbl_SaaS_Audit[[#This Row],[region]],"-")</f>
        <v>MEA</v>
      </c>
      <c r="L313" s="8" t="str">
        <f>_xlfn.TEXTAFTER(tbl_SaaS_Audit[[#This Row],[region]],"-")</f>
        <v>EGY</v>
      </c>
      <c r="M313" s="8">
        <f t="shared" si="4"/>
        <v>19</v>
      </c>
      <c r="N313" s="4">
        <f>tbl_SaaS_Audit[[#This Row],[Tenure_Months]]*tbl_SaaS_Audit[[#This Row],[Monthly_Revenue]]</f>
        <v>149181.54</v>
      </c>
      <c r="O313" s="3" t="str" cm="1">
        <f t="array" ref="O31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13" s="4" cm="1">
        <f t="array" ref="P313">_xlfn.IFS(tbl_SaaS_Audit[[#This Row],[Risk_Level]]="CRITICAL RISK",tbl_SaaS_Audit[[#This Row],[Monthly_Revenue]]*12,TRUE,0)</f>
        <v>0</v>
      </c>
    </row>
    <row r="314" spans="1:16">
      <c r="A314" s="1">
        <v>313</v>
      </c>
      <c r="B314" s="1" t="s">
        <v>257</v>
      </c>
      <c r="C314" s="1" t="s">
        <v>14</v>
      </c>
      <c r="D314" s="2">
        <v>45611</v>
      </c>
      <c r="E314" s="1" t="s">
        <v>41</v>
      </c>
      <c r="F314" s="4">
        <v>5542.99</v>
      </c>
      <c r="G314" s="1" t="s">
        <v>49</v>
      </c>
      <c r="H314" s="2">
        <v>45911</v>
      </c>
      <c r="I314" s="1">
        <v>8</v>
      </c>
      <c r="J314" s="1" t="s">
        <v>51</v>
      </c>
      <c r="K314" s="1" t="str">
        <f>_xlfn.TEXTBEFORE(tbl_SaaS_Audit[[#This Row],[region]],"-")</f>
        <v>NA</v>
      </c>
      <c r="L314" s="8" t="str">
        <f>_xlfn.TEXTAFTER(tbl_SaaS_Audit[[#This Row],[region]],"-")</f>
        <v>EAST</v>
      </c>
      <c r="M314" s="8">
        <f t="shared" si="4"/>
        <v>22</v>
      </c>
      <c r="N314" s="4">
        <f>tbl_SaaS_Audit[[#This Row],[Tenure_Months]]*tbl_SaaS_Audit[[#This Row],[Monthly_Revenue]]</f>
        <v>121945.78</v>
      </c>
      <c r="O314" s="3" t="str" cm="1">
        <f t="array" ref="O31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14" s="4" cm="1">
        <f t="array" ref="P314">_xlfn.IFS(tbl_SaaS_Audit[[#This Row],[Risk_Level]]="CRITICAL RISK",tbl_SaaS_Audit[[#This Row],[Monthly_Revenue]]*12,TRUE,0)</f>
        <v>0</v>
      </c>
    </row>
    <row r="315" spans="1:16">
      <c r="A315" s="1">
        <v>314</v>
      </c>
      <c r="B315" s="1" t="s">
        <v>197</v>
      </c>
      <c r="C315" s="1" t="s">
        <v>13</v>
      </c>
      <c r="D315" s="2">
        <v>45336</v>
      </c>
      <c r="E315" s="1" t="s">
        <v>32</v>
      </c>
      <c r="F315" s="4">
        <v>14587.98</v>
      </c>
      <c r="G315" s="1" t="s">
        <v>36</v>
      </c>
      <c r="H315" s="2">
        <v>45951</v>
      </c>
      <c r="I315" s="1">
        <v>18</v>
      </c>
      <c r="J315" s="1" t="s">
        <v>47</v>
      </c>
      <c r="K315" s="1" t="str">
        <f>_xlfn.TEXTBEFORE(tbl_SaaS_Audit[[#This Row],[region]],"-")</f>
        <v>NA</v>
      </c>
      <c r="L315" s="8" t="str">
        <f>_xlfn.TEXTAFTER(tbl_SaaS_Audit[[#This Row],[region]],"-")</f>
        <v>WEST</v>
      </c>
      <c r="M315" s="8">
        <f t="shared" si="4"/>
        <v>31</v>
      </c>
      <c r="N315" s="4">
        <f>tbl_SaaS_Audit[[#This Row],[Tenure_Months]]*tbl_SaaS_Audit[[#This Row],[Monthly_Revenue]]</f>
        <v>452227.38</v>
      </c>
      <c r="O315" s="3" t="str" cm="1">
        <f t="array" ref="O31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15" s="4" cm="1">
        <f t="array" ref="P315">_xlfn.IFS(tbl_SaaS_Audit[[#This Row],[Risk_Level]]="CRITICAL RISK",tbl_SaaS_Audit[[#This Row],[Monthly_Revenue]]*12,TRUE,0)</f>
        <v>0</v>
      </c>
    </row>
    <row r="316" spans="1:16">
      <c r="A316" s="1">
        <v>315</v>
      </c>
      <c r="B316" s="1" t="s">
        <v>139</v>
      </c>
      <c r="C316" s="1" t="s">
        <v>11</v>
      </c>
      <c r="D316" s="2">
        <v>45376</v>
      </c>
      <c r="E316" s="1" t="s">
        <v>39</v>
      </c>
      <c r="F316" s="4">
        <v>13017.27</v>
      </c>
      <c r="G316" s="1" t="s">
        <v>33</v>
      </c>
      <c r="H316" s="2">
        <v>46127</v>
      </c>
      <c r="I316" s="1">
        <v>16</v>
      </c>
      <c r="J316" s="1" t="s">
        <v>47</v>
      </c>
      <c r="K316" s="1" t="str">
        <f>_xlfn.TEXTBEFORE(tbl_SaaS_Audit[[#This Row],[region]],"-")</f>
        <v>NA</v>
      </c>
      <c r="L316" s="8" t="str">
        <f>_xlfn.TEXTAFTER(tbl_SaaS_Audit[[#This Row],[region]],"-")</f>
        <v>WEST</v>
      </c>
      <c r="M316" s="8">
        <f t="shared" si="4"/>
        <v>25</v>
      </c>
      <c r="N316" s="4">
        <f>tbl_SaaS_Audit[[#This Row],[Tenure_Months]]*tbl_SaaS_Audit[[#This Row],[Monthly_Revenue]]</f>
        <v>325431.75</v>
      </c>
      <c r="O316" s="3" t="str" cm="1">
        <f t="array" ref="O31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16" s="4" cm="1">
        <f t="array" ref="P316">_xlfn.IFS(tbl_SaaS_Audit[[#This Row],[Risk_Level]]="CRITICAL RISK",tbl_SaaS_Audit[[#This Row],[Monthly_Revenue]]*12,TRUE,0)</f>
        <v>0</v>
      </c>
    </row>
    <row r="317" spans="1:16">
      <c r="A317" s="1">
        <v>316</v>
      </c>
      <c r="B317" s="1" t="s">
        <v>258</v>
      </c>
      <c r="C317" s="1" t="s">
        <v>15</v>
      </c>
      <c r="D317" s="2">
        <v>45409</v>
      </c>
      <c r="E317" s="1" t="s">
        <v>41</v>
      </c>
      <c r="F317" s="4">
        <v>2889.53</v>
      </c>
      <c r="G317" s="1" t="s">
        <v>49</v>
      </c>
      <c r="H317" s="2">
        <v>46167</v>
      </c>
      <c r="I317" s="1">
        <v>6</v>
      </c>
      <c r="J317" s="1" t="s">
        <v>51</v>
      </c>
      <c r="K317" s="1" t="str">
        <f>_xlfn.TEXTBEFORE(tbl_SaaS_Audit[[#This Row],[region]],"-")</f>
        <v>NA</v>
      </c>
      <c r="L317" s="8" t="str">
        <f>_xlfn.TEXTAFTER(tbl_SaaS_Audit[[#This Row],[region]],"-")</f>
        <v>EAST</v>
      </c>
      <c r="M317" s="8">
        <f t="shared" si="4"/>
        <v>29</v>
      </c>
      <c r="N317" s="4">
        <f>tbl_SaaS_Audit[[#This Row],[Tenure_Months]]*tbl_SaaS_Audit[[#This Row],[Monthly_Revenue]]</f>
        <v>83796.37000000001</v>
      </c>
      <c r="O317" s="3" t="str" cm="1">
        <f t="array" ref="O31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17" s="4" cm="1">
        <f t="array" ref="P317">_xlfn.IFS(tbl_SaaS_Audit[[#This Row],[Risk_Level]]="CRITICAL RISK",tbl_SaaS_Audit[[#This Row],[Monthly_Revenue]]*12,TRUE,0)</f>
        <v>0</v>
      </c>
    </row>
    <row r="318" spans="1:16">
      <c r="A318" s="1">
        <v>317</v>
      </c>
      <c r="B318" s="1" t="s">
        <v>139</v>
      </c>
      <c r="C318" s="1" t="s">
        <v>12</v>
      </c>
      <c r="D318" s="2">
        <v>45400</v>
      </c>
      <c r="E318" s="1" t="s">
        <v>41</v>
      </c>
      <c r="F318" s="4">
        <v>10448.120000000001</v>
      </c>
      <c r="G318" s="1" t="s">
        <v>42</v>
      </c>
      <c r="H318" s="2">
        <v>45841</v>
      </c>
      <c r="I318" s="1">
        <v>2</v>
      </c>
      <c r="J318" s="1" t="s">
        <v>47</v>
      </c>
      <c r="K318" s="1" t="str">
        <f>_xlfn.TEXTBEFORE(tbl_SaaS_Audit[[#This Row],[region]],"-")</f>
        <v>NA</v>
      </c>
      <c r="L318" s="8" t="str">
        <f>_xlfn.TEXTAFTER(tbl_SaaS_Audit[[#This Row],[region]],"-")</f>
        <v>WEST</v>
      </c>
      <c r="M318" s="8">
        <f t="shared" si="4"/>
        <v>29</v>
      </c>
      <c r="N318" s="4">
        <f>tbl_SaaS_Audit[[#This Row],[Tenure_Months]]*tbl_SaaS_Audit[[#This Row],[Monthly_Revenue]]</f>
        <v>302995.48000000004</v>
      </c>
      <c r="O318" s="3" t="str" cm="1">
        <f t="array" ref="O31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18" s="4" cm="1">
        <f t="array" ref="P318">_xlfn.IFS(tbl_SaaS_Audit[[#This Row],[Risk_Level]]="CRITICAL RISK",tbl_SaaS_Audit[[#This Row],[Monthly_Revenue]]*12,TRUE,0)</f>
        <v>0</v>
      </c>
    </row>
    <row r="319" spans="1:16">
      <c r="A319" s="1">
        <v>318</v>
      </c>
      <c r="B319" s="1" t="s">
        <v>155</v>
      </c>
      <c r="C319" s="1" t="s">
        <v>15</v>
      </c>
      <c r="D319" s="2">
        <v>45543</v>
      </c>
      <c r="E319" s="1" t="s">
        <v>39</v>
      </c>
      <c r="F319" s="4">
        <v>5620.32</v>
      </c>
      <c r="G319" s="1" t="s">
        <v>49</v>
      </c>
      <c r="H319" s="2">
        <v>46049</v>
      </c>
      <c r="I319" s="1">
        <v>4</v>
      </c>
      <c r="J319" s="1" t="s">
        <v>37</v>
      </c>
      <c r="K319" s="1" t="str">
        <f>_xlfn.TEXTBEFORE(tbl_SaaS_Audit[[#This Row],[region]],"-")</f>
        <v>MEA</v>
      </c>
      <c r="L319" s="8" t="str">
        <f>_xlfn.TEXTAFTER(tbl_SaaS_Audit[[#This Row],[region]],"-")</f>
        <v>EGY</v>
      </c>
      <c r="M319" s="8">
        <f t="shared" si="4"/>
        <v>24</v>
      </c>
      <c r="N319" s="4">
        <f>tbl_SaaS_Audit[[#This Row],[Tenure_Months]]*tbl_SaaS_Audit[[#This Row],[Monthly_Revenue]]</f>
        <v>134887.67999999999</v>
      </c>
      <c r="O319" s="3" t="str" cm="1">
        <f t="array" ref="O31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19" s="4" cm="1">
        <f t="array" ref="P319">_xlfn.IFS(tbl_SaaS_Audit[[#This Row],[Risk_Level]]="CRITICAL RISK",tbl_SaaS_Audit[[#This Row],[Monthly_Revenue]]*12,TRUE,0)</f>
        <v>0</v>
      </c>
    </row>
    <row r="320" spans="1:16">
      <c r="A320" s="1">
        <v>319</v>
      </c>
      <c r="B320" s="1" t="s">
        <v>220</v>
      </c>
      <c r="C320" s="1" t="s">
        <v>15</v>
      </c>
      <c r="D320" s="2">
        <v>45724</v>
      </c>
      <c r="E320" s="1" t="s">
        <v>41</v>
      </c>
      <c r="F320" s="4">
        <v>9916.58</v>
      </c>
      <c r="G320" s="1" t="s">
        <v>36</v>
      </c>
      <c r="H320" s="2">
        <v>46147</v>
      </c>
      <c r="I320" s="1">
        <v>13</v>
      </c>
      <c r="J320" s="1" t="s">
        <v>47</v>
      </c>
      <c r="K320" s="1" t="str">
        <f>_xlfn.TEXTBEFORE(tbl_SaaS_Audit[[#This Row],[region]],"-")</f>
        <v>NA</v>
      </c>
      <c r="L320" s="8" t="str">
        <f>_xlfn.TEXTAFTER(tbl_SaaS_Audit[[#This Row],[region]],"-")</f>
        <v>WEST</v>
      </c>
      <c r="M320" s="8">
        <f t="shared" si="4"/>
        <v>18</v>
      </c>
      <c r="N320" s="4">
        <f>tbl_SaaS_Audit[[#This Row],[Tenure_Months]]*tbl_SaaS_Audit[[#This Row],[Monthly_Revenue]]</f>
        <v>178498.44</v>
      </c>
      <c r="O320" s="3" t="str" cm="1">
        <f t="array" ref="O32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20" s="4" cm="1">
        <f t="array" ref="P320">_xlfn.IFS(tbl_SaaS_Audit[[#This Row],[Risk_Level]]="CRITICAL RISK",tbl_SaaS_Audit[[#This Row],[Monthly_Revenue]]*12,TRUE,0)</f>
        <v>0</v>
      </c>
    </row>
    <row r="321" spans="1:16">
      <c r="A321" s="1">
        <v>320</v>
      </c>
      <c r="B321" s="1" t="s">
        <v>56</v>
      </c>
      <c r="C321" s="1" t="s">
        <v>11</v>
      </c>
      <c r="D321" s="2">
        <v>45710</v>
      </c>
      <c r="E321" s="1" t="s">
        <v>39</v>
      </c>
      <c r="F321" s="4">
        <v>10119.049999999999</v>
      </c>
      <c r="G321" s="1" t="s">
        <v>49</v>
      </c>
      <c r="H321" s="2">
        <v>45839</v>
      </c>
      <c r="I321" s="1">
        <v>11</v>
      </c>
      <c r="J321" s="1" t="s">
        <v>37</v>
      </c>
      <c r="K321" s="1" t="str">
        <f>_xlfn.TEXTBEFORE(tbl_SaaS_Audit[[#This Row],[region]],"-")</f>
        <v>MEA</v>
      </c>
      <c r="L321" s="8" t="str">
        <f>_xlfn.TEXTAFTER(tbl_SaaS_Audit[[#This Row],[region]],"-")</f>
        <v>EGY</v>
      </c>
      <c r="M321" s="8">
        <f t="shared" si="4"/>
        <v>19</v>
      </c>
      <c r="N321" s="4">
        <f>tbl_SaaS_Audit[[#This Row],[Tenure_Months]]*tbl_SaaS_Audit[[#This Row],[Monthly_Revenue]]</f>
        <v>192261.94999999998</v>
      </c>
      <c r="O321" s="3" t="str" cm="1">
        <f t="array" ref="O32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21" s="4" cm="1">
        <f t="array" ref="P321">_xlfn.IFS(tbl_SaaS_Audit[[#This Row],[Risk_Level]]="CRITICAL RISK",tbl_SaaS_Audit[[#This Row],[Monthly_Revenue]]*12,TRUE,0)</f>
        <v>0</v>
      </c>
    </row>
    <row r="322" spans="1:16">
      <c r="A322" s="1">
        <v>321</v>
      </c>
      <c r="B322" s="1" t="s">
        <v>259</v>
      </c>
      <c r="C322" s="1" t="s">
        <v>11</v>
      </c>
      <c r="D322" s="2">
        <v>45826</v>
      </c>
      <c r="E322" s="1" t="s">
        <v>39</v>
      </c>
      <c r="F322" s="4">
        <v>14478.21</v>
      </c>
      <c r="G322" s="1" t="s">
        <v>42</v>
      </c>
      <c r="H322" s="2">
        <v>46100</v>
      </c>
      <c r="I322" s="1">
        <v>3</v>
      </c>
      <c r="J322" s="1" t="s">
        <v>51</v>
      </c>
      <c r="K322" s="1" t="str">
        <f>_xlfn.TEXTBEFORE(tbl_SaaS_Audit[[#This Row],[region]],"-")</f>
        <v>NA</v>
      </c>
      <c r="L322" s="8" t="str">
        <f>_xlfn.TEXTAFTER(tbl_SaaS_Audit[[#This Row],[region]],"-")</f>
        <v>EAST</v>
      </c>
      <c r="M322" s="8">
        <f t="shared" ref="M322:M385" si="5">MAX(0, IF(AND(G322="Churned", ISNUMBER(H322)), (YEAR(H322)-YEAR(D322))*12 + (MONTH(H322)-MONTH(D322)), (YEAR(DATE(2026,9,1))-YEAR(D322))*12 + (MONTH(DATE(2026,9,1))-MONTH(D322))))</f>
        <v>15</v>
      </c>
      <c r="N322" s="4">
        <f>tbl_SaaS_Audit[[#This Row],[Tenure_Months]]*tbl_SaaS_Audit[[#This Row],[Monthly_Revenue]]</f>
        <v>217173.15</v>
      </c>
      <c r="O322" s="3" t="str" cm="1">
        <f t="array" ref="O32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22" s="4" cm="1">
        <f t="array" ref="P322">_xlfn.IFS(tbl_SaaS_Audit[[#This Row],[Risk_Level]]="CRITICAL RISK",tbl_SaaS_Audit[[#This Row],[Monthly_Revenue]]*12,TRUE,0)</f>
        <v>0</v>
      </c>
    </row>
    <row r="323" spans="1:16">
      <c r="A323" s="1">
        <v>322</v>
      </c>
      <c r="B323" s="1" t="s">
        <v>119</v>
      </c>
      <c r="C323" s="1" t="s">
        <v>11</v>
      </c>
      <c r="D323" s="2">
        <v>45757</v>
      </c>
      <c r="E323" s="1" t="s">
        <v>39</v>
      </c>
      <c r="F323" s="4">
        <v>7530.07</v>
      </c>
      <c r="G323" s="1" t="s">
        <v>42</v>
      </c>
      <c r="H323" s="2">
        <v>46225</v>
      </c>
      <c r="I323" s="1">
        <v>17</v>
      </c>
      <c r="J323" s="1" t="s">
        <v>51</v>
      </c>
      <c r="K323" s="1" t="str">
        <f>_xlfn.TEXTBEFORE(tbl_SaaS_Audit[[#This Row],[region]],"-")</f>
        <v>NA</v>
      </c>
      <c r="L323" s="8" t="str">
        <f>_xlfn.TEXTAFTER(tbl_SaaS_Audit[[#This Row],[region]],"-")</f>
        <v>EAST</v>
      </c>
      <c r="M323" s="8">
        <f t="shared" si="5"/>
        <v>17</v>
      </c>
      <c r="N323" s="4">
        <f>tbl_SaaS_Audit[[#This Row],[Tenure_Months]]*tbl_SaaS_Audit[[#This Row],[Monthly_Revenue]]</f>
        <v>128011.19</v>
      </c>
      <c r="O323" s="3" t="str" cm="1">
        <f t="array" ref="O32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23" s="4" cm="1">
        <f t="array" ref="P323">_xlfn.IFS(tbl_SaaS_Audit[[#This Row],[Risk_Level]]="CRITICAL RISK",tbl_SaaS_Audit[[#This Row],[Monthly_Revenue]]*12,TRUE,0)</f>
        <v>90360.84</v>
      </c>
    </row>
    <row r="324" spans="1:16">
      <c r="A324" s="1">
        <v>323</v>
      </c>
      <c r="B324" s="1" t="s">
        <v>209</v>
      </c>
      <c r="C324" s="1" t="s">
        <v>15</v>
      </c>
      <c r="D324" s="2">
        <v>45499</v>
      </c>
      <c r="E324" s="1" t="s">
        <v>32</v>
      </c>
      <c r="F324" s="4">
        <v>7126.28</v>
      </c>
      <c r="G324" s="1" t="s">
        <v>33</v>
      </c>
      <c r="H324" s="1"/>
      <c r="I324" s="1">
        <v>15</v>
      </c>
      <c r="J324" s="1" t="s">
        <v>45</v>
      </c>
      <c r="K324" s="1" t="str">
        <f>_xlfn.TEXTBEFORE(tbl_SaaS_Audit[[#This Row],[region]],"-")</f>
        <v>EU</v>
      </c>
      <c r="L324" s="8" t="str">
        <f>_xlfn.TEXTAFTER(tbl_SaaS_Audit[[#This Row],[region]],"-")</f>
        <v>CENTRAL</v>
      </c>
      <c r="M324" s="8">
        <f t="shared" si="5"/>
        <v>26</v>
      </c>
      <c r="N324" s="4">
        <f>tbl_SaaS_Audit[[#This Row],[Tenure_Months]]*tbl_SaaS_Audit[[#This Row],[Monthly_Revenue]]</f>
        <v>185283.28</v>
      </c>
      <c r="O324" s="3" t="str" cm="1">
        <f t="array" ref="O32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24" s="4" cm="1">
        <f t="array" ref="P324">_xlfn.IFS(tbl_SaaS_Audit[[#This Row],[Risk_Level]]="CRITICAL RISK",tbl_SaaS_Audit[[#This Row],[Monthly_Revenue]]*12,TRUE,0)</f>
        <v>0</v>
      </c>
    </row>
    <row r="325" spans="1:16">
      <c r="A325" s="1">
        <v>324</v>
      </c>
      <c r="B325" s="1" t="s">
        <v>229</v>
      </c>
      <c r="C325" s="1" t="s">
        <v>13</v>
      </c>
      <c r="D325" s="2">
        <v>45321</v>
      </c>
      <c r="E325" s="1" t="s">
        <v>41</v>
      </c>
      <c r="F325" s="4">
        <v>3708.37</v>
      </c>
      <c r="G325" s="1" t="s">
        <v>33</v>
      </c>
      <c r="H325" s="2">
        <v>45938</v>
      </c>
      <c r="I325" s="1">
        <v>4</v>
      </c>
      <c r="J325" s="1" t="s">
        <v>47</v>
      </c>
      <c r="K325" s="1" t="str">
        <f>_xlfn.TEXTBEFORE(tbl_SaaS_Audit[[#This Row],[region]],"-")</f>
        <v>NA</v>
      </c>
      <c r="L325" s="8" t="str">
        <f>_xlfn.TEXTAFTER(tbl_SaaS_Audit[[#This Row],[region]],"-")</f>
        <v>WEST</v>
      </c>
      <c r="M325" s="8">
        <f t="shared" si="5"/>
        <v>21</v>
      </c>
      <c r="N325" s="4">
        <f>tbl_SaaS_Audit[[#This Row],[Tenure_Months]]*tbl_SaaS_Audit[[#This Row],[Monthly_Revenue]]</f>
        <v>77875.77</v>
      </c>
      <c r="O325" s="3" t="str" cm="1">
        <f t="array" ref="O32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25" s="4" cm="1">
        <f t="array" ref="P325">_xlfn.IFS(tbl_SaaS_Audit[[#This Row],[Risk_Level]]="CRITICAL RISK",tbl_SaaS_Audit[[#This Row],[Monthly_Revenue]]*12,TRUE,0)</f>
        <v>0</v>
      </c>
    </row>
    <row r="326" spans="1:16">
      <c r="A326" s="1">
        <v>325</v>
      </c>
      <c r="B326" s="1" t="s">
        <v>138</v>
      </c>
      <c r="C326" s="1" t="s">
        <v>12</v>
      </c>
      <c r="D326" s="2">
        <v>45402</v>
      </c>
      <c r="E326" s="1" t="s">
        <v>32</v>
      </c>
      <c r="F326" s="4">
        <v>6954.08</v>
      </c>
      <c r="G326" s="1" t="s">
        <v>49</v>
      </c>
      <c r="H326" s="2">
        <v>45951</v>
      </c>
      <c r="I326" s="1">
        <v>9</v>
      </c>
      <c r="J326" s="1" t="s">
        <v>37</v>
      </c>
      <c r="K326" s="1" t="str">
        <f>_xlfn.TEXTBEFORE(tbl_SaaS_Audit[[#This Row],[region]],"-")</f>
        <v>MEA</v>
      </c>
      <c r="L326" s="8" t="str">
        <f>_xlfn.TEXTAFTER(tbl_SaaS_Audit[[#This Row],[region]],"-")</f>
        <v>EGY</v>
      </c>
      <c r="M326" s="8">
        <f t="shared" si="5"/>
        <v>29</v>
      </c>
      <c r="N326" s="4">
        <f>tbl_SaaS_Audit[[#This Row],[Tenure_Months]]*tbl_SaaS_Audit[[#This Row],[Monthly_Revenue]]</f>
        <v>201668.32</v>
      </c>
      <c r="O326" s="3" t="str" cm="1">
        <f t="array" ref="O32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26" s="4" cm="1">
        <f t="array" ref="P326">_xlfn.IFS(tbl_SaaS_Audit[[#This Row],[Risk_Level]]="CRITICAL RISK",tbl_SaaS_Audit[[#This Row],[Monthly_Revenue]]*12,TRUE,0)</f>
        <v>0</v>
      </c>
    </row>
    <row r="327" spans="1:16">
      <c r="A327" s="1">
        <v>326</v>
      </c>
      <c r="B327" s="1" t="s">
        <v>196</v>
      </c>
      <c r="C327" s="1" t="s">
        <v>13</v>
      </c>
      <c r="D327" s="2">
        <v>45818</v>
      </c>
      <c r="E327" s="1" t="s">
        <v>32</v>
      </c>
      <c r="F327" s="4">
        <v>12313.63</v>
      </c>
      <c r="G327" s="1" t="s">
        <v>33</v>
      </c>
      <c r="H327" s="2">
        <v>46228</v>
      </c>
      <c r="I327" s="1">
        <v>13</v>
      </c>
      <c r="J327" s="1" t="s">
        <v>51</v>
      </c>
      <c r="K327" s="1" t="str">
        <f>_xlfn.TEXTBEFORE(tbl_SaaS_Audit[[#This Row],[region]],"-")</f>
        <v>NA</v>
      </c>
      <c r="L327" s="8" t="str">
        <f>_xlfn.TEXTAFTER(tbl_SaaS_Audit[[#This Row],[region]],"-")</f>
        <v>EAST</v>
      </c>
      <c r="M327" s="8">
        <f t="shared" si="5"/>
        <v>13</v>
      </c>
      <c r="N327" s="4">
        <f>tbl_SaaS_Audit[[#This Row],[Tenure_Months]]*tbl_SaaS_Audit[[#This Row],[Monthly_Revenue]]</f>
        <v>160077.19</v>
      </c>
      <c r="O327" s="3" t="str" cm="1">
        <f t="array" ref="O32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27" s="4" cm="1">
        <f t="array" ref="P327">_xlfn.IFS(tbl_SaaS_Audit[[#This Row],[Risk_Level]]="CRITICAL RISK",tbl_SaaS_Audit[[#This Row],[Monthly_Revenue]]*12,TRUE,0)</f>
        <v>0</v>
      </c>
    </row>
    <row r="328" spans="1:16">
      <c r="A328" s="1">
        <v>327</v>
      </c>
      <c r="B328" s="1" t="s">
        <v>260</v>
      </c>
      <c r="C328" s="1" t="s">
        <v>15</v>
      </c>
      <c r="D328" s="2">
        <v>45366</v>
      </c>
      <c r="E328" s="1" t="s">
        <v>39</v>
      </c>
      <c r="F328" s="4">
        <v>11956.27</v>
      </c>
      <c r="G328" s="1" t="s">
        <v>42</v>
      </c>
      <c r="H328" s="2">
        <v>46181</v>
      </c>
      <c r="I328" s="1">
        <v>12</v>
      </c>
      <c r="J328" s="1" t="s">
        <v>51</v>
      </c>
      <c r="K328" s="1" t="str">
        <f>_xlfn.TEXTBEFORE(tbl_SaaS_Audit[[#This Row],[region]],"-")</f>
        <v>NA</v>
      </c>
      <c r="L328" s="8" t="str">
        <f>_xlfn.TEXTAFTER(tbl_SaaS_Audit[[#This Row],[region]],"-")</f>
        <v>EAST</v>
      </c>
      <c r="M328" s="8">
        <f t="shared" si="5"/>
        <v>30</v>
      </c>
      <c r="N328" s="4">
        <f>tbl_SaaS_Audit[[#This Row],[Tenure_Months]]*tbl_SaaS_Audit[[#This Row],[Monthly_Revenue]]</f>
        <v>358688.10000000003</v>
      </c>
      <c r="O328" s="3" t="str" cm="1">
        <f t="array" ref="O32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28" s="4" cm="1">
        <f t="array" ref="P328">_xlfn.IFS(tbl_SaaS_Audit[[#This Row],[Risk_Level]]="CRITICAL RISK",tbl_SaaS_Audit[[#This Row],[Monthly_Revenue]]*12,TRUE,0)</f>
        <v>143475.24</v>
      </c>
    </row>
    <row r="329" spans="1:16">
      <c r="A329" s="1">
        <v>328</v>
      </c>
      <c r="B329" s="1" t="s">
        <v>261</v>
      </c>
      <c r="C329" s="1" t="s">
        <v>12</v>
      </c>
      <c r="D329" s="2">
        <v>45357</v>
      </c>
      <c r="E329" s="1" t="s">
        <v>32</v>
      </c>
      <c r="F329" s="4">
        <v>2964.93</v>
      </c>
      <c r="G329" s="1" t="s">
        <v>42</v>
      </c>
      <c r="H329" s="1"/>
      <c r="I329" s="1">
        <v>3</v>
      </c>
      <c r="J329" s="1" t="s">
        <v>45</v>
      </c>
      <c r="K329" s="1" t="str">
        <f>_xlfn.TEXTBEFORE(tbl_SaaS_Audit[[#This Row],[region]],"-")</f>
        <v>EU</v>
      </c>
      <c r="L329" s="8" t="str">
        <f>_xlfn.TEXTAFTER(tbl_SaaS_Audit[[#This Row],[region]],"-")</f>
        <v>CENTRAL</v>
      </c>
      <c r="M329" s="8">
        <f t="shared" si="5"/>
        <v>30</v>
      </c>
      <c r="N329" s="4">
        <f>tbl_SaaS_Audit[[#This Row],[Tenure_Months]]*tbl_SaaS_Audit[[#This Row],[Monthly_Revenue]]</f>
        <v>88947.9</v>
      </c>
      <c r="O329" s="3" t="str" cm="1">
        <f t="array" ref="O32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29" s="4" cm="1">
        <f t="array" ref="P329">_xlfn.IFS(tbl_SaaS_Audit[[#This Row],[Risk_Level]]="CRITICAL RISK",tbl_SaaS_Audit[[#This Row],[Monthly_Revenue]]*12,TRUE,0)</f>
        <v>0</v>
      </c>
    </row>
    <row r="330" spans="1:16">
      <c r="A330" s="1">
        <v>329</v>
      </c>
      <c r="B330" s="1" t="s">
        <v>262</v>
      </c>
      <c r="C330" s="1" t="s">
        <v>15</v>
      </c>
      <c r="D330" s="2">
        <v>45650</v>
      </c>
      <c r="E330" s="1" t="s">
        <v>39</v>
      </c>
      <c r="F330" s="4">
        <v>10980.72</v>
      </c>
      <c r="G330" s="1" t="s">
        <v>36</v>
      </c>
      <c r="H330" s="2">
        <v>45954</v>
      </c>
      <c r="I330" s="1">
        <v>3</v>
      </c>
      <c r="J330" s="1" t="s">
        <v>37</v>
      </c>
      <c r="K330" s="1" t="str">
        <f>_xlfn.TEXTBEFORE(tbl_SaaS_Audit[[#This Row],[region]],"-")</f>
        <v>MEA</v>
      </c>
      <c r="L330" s="8" t="str">
        <f>_xlfn.TEXTAFTER(tbl_SaaS_Audit[[#This Row],[region]],"-")</f>
        <v>EGY</v>
      </c>
      <c r="M330" s="8">
        <f t="shared" si="5"/>
        <v>21</v>
      </c>
      <c r="N330" s="4">
        <f>tbl_SaaS_Audit[[#This Row],[Tenure_Months]]*tbl_SaaS_Audit[[#This Row],[Monthly_Revenue]]</f>
        <v>230595.12</v>
      </c>
      <c r="O330" s="3" t="str" cm="1">
        <f t="array" ref="O33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30" s="4" cm="1">
        <f t="array" ref="P330">_xlfn.IFS(tbl_SaaS_Audit[[#This Row],[Risk_Level]]="CRITICAL RISK",tbl_SaaS_Audit[[#This Row],[Monthly_Revenue]]*12,TRUE,0)</f>
        <v>0</v>
      </c>
    </row>
    <row r="331" spans="1:16">
      <c r="A331" s="1">
        <v>330</v>
      </c>
      <c r="B331" s="1" t="s">
        <v>263</v>
      </c>
      <c r="C331" s="1" t="s">
        <v>12</v>
      </c>
      <c r="D331" s="2">
        <v>45497</v>
      </c>
      <c r="E331" s="1" t="s">
        <v>39</v>
      </c>
      <c r="F331" s="4">
        <v>5010.5200000000004</v>
      </c>
      <c r="G331" s="1" t="s">
        <v>42</v>
      </c>
      <c r="H331" s="1"/>
      <c r="I331" s="1">
        <v>5</v>
      </c>
      <c r="J331" s="1" t="s">
        <v>47</v>
      </c>
      <c r="K331" s="1" t="str">
        <f>_xlfn.TEXTBEFORE(tbl_SaaS_Audit[[#This Row],[region]],"-")</f>
        <v>NA</v>
      </c>
      <c r="L331" s="8" t="str">
        <f>_xlfn.TEXTAFTER(tbl_SaaS_Audit[[#This Row],[region]],"-")</f>
        <v>WEST</v>
      </c>
      <c r="M331" s="8">
        <f t="shared" si="5"/>
        <v>26</v>
      </c>
      <c r="N331" s="4">
        <f>tbl_SaaS_Audit[[#This Row],[Tenure_Months]]*tbl_SaaS_Audit[[#This Row],[Monthly_Revenue]]</f>
        <v>130273.52000000002</v>
      </c>
      <c r="O331" s="3" t="str" cm="1">
        <f t="array" ref="O33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31" s="4" cm="1">
        <f t="array" ref="P331">_xlfn.IFS(tbl_SaaS_Audit[[#This Row],[Risk_Level]]="CRITICAL RISK",tbl_SaaS_Audit[[#This Row],[Monthly_Revenue]]*12,TRUE,0)</f>
        <v>0</v>
      </c>
    </row>
    <row r="332" spans="1:16">
      <c r="A332" s="1">
        <v>331</v>
      </c>
      <c r="B332" s="1" t="s">
        <v>239</v>
      </c>
      <c r="C332" s="1" t="s">
        <v>15</v>
      </c>
      <c r="D332" s="2">
        <v>45559</v>
      </c>
      <c r="E332" s="1" t="s">
        <v>32</v>
      </c>
      <c r="F332" s="4">
        <v>11602.59</v>
      </c>
      <c r="G332" s="1" t="s">
        <v>36</v>
      </c>
      <c r="H332" s="2">
        <v>45840</v>
      </c>
      <c r="I332" s="1">
        <v>7</v>
      </c>
      <c r="J332" s="1" t="s">
        <v>45</v>
      </c>
      <c r="K332" s="1" t="str">
        <f>_xlfn.TEXTBEFORE(tbl_SaaS_Audit[[#This Row],[region]],"-")</f>
        <v>EU</v>
      </c>
      <c r="L332" s="8" t="str">
        <f>_xlfn.TEXTAFTER(tbl_SaaS_Audit[[#This Row],[region]],"-")</f>
        <v>CENTRAL</v>
      </c>
      <c r="M332" s="8">
        <f t="shared" si="5"/>
        <v>24</v>
      </c>
      <c r="N332" s="4">
        <f>tbl_SaaS_Audit[[#This Row],[Tenure_Months]]*tbl_SaaS_Audit[[#This Row],[Monthly_Revenue]]</f>
        <v>278462.16000000003</v>
      </c>
      <c r="O332" s="3" t="str" cm="1">
        <f t="array" ref="O33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32" s="4" cm="1">
        <f t="array" ref="P332">_xlfn.IFS(tbl_SaaS_Audit[[#This Row],[Risk_Level]]="CRITICAL RISK",tbl_SaaS_Audit[[#This Row],[Monthly_Revenue]]*12,TRUE,0)</f>
        <v>0</v>
      </c>
    </row>
    <row r="333" spans="1:16">
      <c r="A333" s="1">
        <v>332</v>
      </c>
      <c r="B333" s="1" t="s">
        <v>91</v>
      </c>
      <c r="C333" s="1" t="s">
        <v>12</v>
      </c>
      <c r="D333" s="2">
        <v>45617</v>
      </c>
      <c r="E333" s="1" t="s">
        <v>41</v>
      </c>
      <c r="F333" s="4">
        <v>8508.52</v>
      </c>
      <c r="G333" s="1" t="s">
        <v>36</v>
      </c>
      <c r="H333" s="2">
        <v>45881</v>
      </c>
      <c r="I333" s="1">
        <v>7</v>
      </c>
      <c r="J333" s="1" t="s">
        <v>34</v>
      </c>
      <c r="K333" s="1" t="str">
        <f>_xlfn.TEXTBEFORE(tbl_SaaS_Audit[[#This Row],[region]],"-")</f>
        <v>APAC</v>
      </c>
      <c r="L333" s="8" t="str">
        <f>_xlfn.TEXTAFTER(tbl_SaaS_Audit[[#This Row],[region]],"-")</f>
        <v>SGP</v>
      </c>
      <c r="M333" s="8">
        <f t="shared" si="5"/>
        <v>22</v>
      </c>
      <c r="N333" s="4">
        <f>tbl_SaaS_Audit[[#This Row],[Tenure_Months]]*tbl_SaaS_Audit[[#This Row],[Monthly_Revenue]]</f>
        <v>187187.44</v>
      </c>
      <c r="O333" s="3" t="str" cm="1">
        <f t="array" ref="O33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33" s="4" cm="1">
        <f t="array" ref="P333">_xlfn.IFS(tbl_SaaS_Audit[[#This Row],[Risk_Level]]="CRITICAL RISK",tbl_SaaS_Audit[[#This Row],[Monthly_Revenue]]*12,TRUE,0)</f>
        <v>0</v>
      </c>
    </row>
    <row r="334" spans="1:16">
      <c r="A334" s="1">
        <v>333</v>
      </c>
      <c r="B334" s="1" t="s">
        <v>138</v>
      </c>
      <c r="C334" s="1" t="s">
        <v>11</v>
      </c>
      <c r="D334" s="2">
        <v>45426</v>
      </c>
      <c r="E334" s="1" t="s">
        <v>32</v>
      </c>
      <c r="F334" s="4">
        <v>7789.82</v>
      </c>
      <c r="G334" s="1" t="s">
        <v>42</v>
      </c>
      <c r="H334" s="2">
        <v>46181</v>
      </c>
      <c r="I334" s="1">
        <v>14</v>
      </c>
      <c r="J334" s="1" t="s">
        <v>47</v>
      </c>
      <c r="K334" s="1" t="str">
        <f>_xlfn.TEXTBEFORE(tbl_SaaS_Audit[[#This Row],[region]],"-")</f>
        <v>NA</v>
      </c>
      <c r="L334" s="8" t="str">
        <f>_xlfn.TEXTAFTER(tbl_SaaS_Audit[[#This Row],[region]],"-")</f>
        <v>WEST</v>
      </c>
      <c r="M334" s="8">
        <f t="shared" si="5"/>
        <v>28</v>
      </c>
      <c r="N334" s="4">
        <f>tbl_SaaS_Audit[[#This Row],[Tenure_Months]]*tbl_SaaS_Audit[[#This Row],[Monthly_Revenue]]</f>
        <v>218114.96</v>
      </c>
      <c r="O334" s="3" t="str" cm="1">
        <f t="array" ref="O33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34" s="4" cm="1">
        <f t="array" ref="P334">_xlfn.IFS(tbl_SaaS_Audit[[#This Row],[Risk_Level]]="CRITICAL RISK",tbl_SaaS_Audit[[#This Row],[Monthly_Revenue]]*12,TRUE,0)</f>
        <v>93477.84</v>
      </c>
    </row>
    <row r="335" spans="1:16">
      <c r="A335" s="1">
        <v>334</v>
      </c>
      <c r="B335" s="1" t="s">
        <v>257</v>
      </c>
      <c r="C335" s="1" t="s">
        <v>15</v>
      </c>
      <c r="D335" s="2">
        <v>45555</v>
      </c>
      <c r="E335" s="1" t="s">
        <v>41</v>
      </c>
      <c r="F335" s="4">
        <v>11605.6</v>
      </c>
      <c r="G335" s="1" t="s">
        <v>36</v>
      </c>
      <c r="H335" s="2">
        <v>46153</v>
      </c>
      <c r="I335" s="1">
        <v>16</v>
      </c>
      <c r="J335" s="1" t="s">
        <v>51</v>
      </c>
      <c r="K335" s="1" t="str">
        <f>_xlfn.TEXTBEFORE(tbl_SaaS_Audit[[#This Row],[region]],"-")</f>
        <v>NA</v>
      </c>
      <c r="L335" s="8" t="str">
        <f>_xlfn.TEXTAFTER(tbl_SaaS_Audit[[#This Row],[region]],"-")</f>
        <v>EAST</v>
      </c>
      <c r="M335" s="8">
        <f t="shared" si="5"/>
        <v>24</v>
      </c>
      <c r="N335" s="4">
        <f>tbl_SaaS_Audit[[#This Row],[Tenure_Months]]*tbl_SaaS_Audit[[#This Row],[Monthly_Revenue]]</f>
        <v>278534.40000000002</v>
      </c>
      <c r="O335" s="3" t="str" cm="1">
        <f t="array" ref="O33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35" s="4" cm="1">
        <f t="array" ref="P335">_xlfn.IFS(tbl_SaaS_Audit[[#This Row],[Risk_Level]]="CRITICAL RISK",tbl_SaaS_Audit[[#This Row],[Monthly_Revenue]]*12,TRUE,0)</f>
        <v>0</v>
      </c>
    </row>
    <row r="336" spans="1:16">
      <c r="A336" s="1">
        <v>335</v>
      </c>
      <c r="B336" s="1" t="s">
        <v>69</v>
      </c>
      <c r="C336" s="1" t="s">
        <v>11</v>
      </c>
      <c r="D336" s="2">
        <v>45581</v>
      </c>
      <c r="E336" s="1" t="s">
        <v>39</v>
      </c>
      <c r="F336" s="4">
        <v>3841.58</v>
      </c>
      <c r="G336" s="1" t="s">
        <v>36</v>
      </c>
      <c r="H336" s="2">
        <v>46023</v>
      </c>
      <c r="I336" s="1">
        <v>18</v>
      </c>
      <c r="J336" s="1" t="s">
        <v>51</v>
      </c>
      <c r="K336" s="1" t="str">
        <f>_xlfn.TEXTBEFORE(tbl_SaaS_Audit[[#This Row],[region]],"-")</f>
        <v>NA</v>
      </c>
      <c r="L336" s="8" t="str">
        <f>_xlfn.TEXTAFTER(tbl_SaaS_Audit[[#This Row],[region]],"-")</f>
        <v>EAST</v>
      </c>
      <c r="M336" s="8">
        <f t="shared" si="5"/>
        <v>23</v>
      </c>
      <c r="N336" s="4">
        <f>tbl_SaaS_Audit[[#This Row],[Tenure_Months]]*tbl_SaaS_Audit[[#This Row],[Monthly_Revenue]]</f>
        <v>88356.34</v>
      </c>
      <c r="O336" s="3" t="str" cm="1">
        <f t="array" ref="O33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36" s="4" cm="1">
        <f t="array" ref="P336">_xlfn.IFS(tbl_SaaS_Audit[[#This Row],[Risk_Level]]="CRITICAL RISK",tbl_SaaS_Audit[[#This Row],[Monthly_Revenue]]*12,TRUE,0)</f>
        <v>0</v>
      </c>
    </row>
    <row r="337" spans="1:16">
      <c r="A337" s="1">
        <v>336</v>
      </c>
      <c r="B337" s="1" t="s">
        <v>215</v>
      </c>
      <c r="C337" s="1" t="s">
        <v>15</v>
      </c>
      <c r="D337" s="2">
        <v>45454</v>
      </c>
      <c r="E337" s="1" t="s">
        <v>41</v>
      </c>
      <c r="F337" s="4">
        <v>9888.15</v>
      </c>
      <c r="G337" s="1" t="s">
        <v>33</v>
      </c>
      <c r="H337" s="2">
        <v>45865</v>
      </c>
      <c r="I337" s="1">
        <v>13</v>
      </c>
      <c r="J337" s="1" t="s">
        <v>45</v>
      </c>
      <c r="K337" s="1" t="str">
        <f>_xlfn.TEXTBEFORE(tbl_SaaS_Audit[[#This Row],[region]],"-")</f>
        <v>EU</v>
      </c>
      <c r="L337" s="8" t="str">
        <f>_xlfn.TEXTAFTER(tbl_SaaS_Audit[[#This Row],[region]],"-")</f>
        <v>CENTRAL</v>
      </c>
      <c r="M337" s="8">
        <f t="shared" si="5"/>
        <v>13</v>
      </c>
      <c r="N337" s="4">
        <f>tbl_SaaS_Audit[[#This Row],[Tenure_Months]]*tbl_SaaS_Audit[[#This Row],[Monthly_Revenue]]</f>
        <v>128545.95</v>
      </c>
      <c r="O337" s="3" t="str" cm="1">
        <f t="array" ref="O33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37" s="4" cm="1">
        <f t="array" ref="P337">_xlfn.IFS(tbl_SaaS_Audit[[#This Row],[Risk_Level]]="CRITICAL RISK",tbl_SaaS_Audit[[#This Row],[Monthly_Revenue]]*12,TRUE,0)</f>
        <v>0</v>
      </c>
    </row>
    <row r="338" spans="1:16">
      <c r="A338" s="1">
        <v>337</v>
      </c>
      <c r="B338" s="1" t="s">
        <v>113</v>
      </c>
      <c r="C338" s="1" t="s">
        <v>13</v>
      </c>
      <c r="D338" s="2">
        <v>45397</v>
      </c>
      <c r="E338" s="1" t="s">
        <v>39</v>
      </c>
      <c r="F338" s="4">
        <v>11219.65</v>
      </c>
      <c r="G338" s="1" t="s">
        <v>36</v>
      </c>
      <c r="H338" s="2">
        <v>46038</v>
      </c>
      <c r="I338" s="1">
        <v>15</v>
      </c>
      <c r="J338" s="1" t="s">
        <v>47</v>
      </c>
      <c r="K338" s="1" t="str">
        <f>_xlfn.TEXTBEFORE(tbl_SaaS_Audit[[#This Row],[region]],"-")</f>
        <v>NA</v>
      </c>
      <c r="L338" s="8" t="str">
        <f>_xlfn.TEXTAFTER(tbl_SaaS_Audit[[#This Row],[region]],"-")</f>
        <v>WEST</v>
      </c>
      <c r="M338" s="8">
        <f t="shared" si="5"/>
        <v>29</v>
      </c>
      <c r="N338" s="4">
        <f>tbl_SaaS_Audit[[#This Row],[Tenure_Months]]*tbl_SaaS_Audit[[#This Row],[Monthly_Revenue]]</f>
        <v>325369.84999999998</v>
      </c>
      <c r="O338" s="3" t="str" cm="1">
        <f t="array" ref="O33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38" s="4" cm="1">
        <f t="array" ref="P338">_xlfn.IFS(tbl_SaaS_Audit[[#This Row],[Risk_Level]]="CRITICAL RISK",tbl_SaaS_Audit[[#This Row],[Monthly_Revenue]]*12,TRUE,0)</f>
        <v>0</v>
      </c>
    </row>
    <row r="339" spans="1:16">
      <c r="A339" s="1">
        <v>338</v>
      </c>
      <c r="B339" s="1" t="s">
        <v>260</v>
      </c>
      <c r="C339" s="1" t="s">
        <v>14</v>
      </c>
      <c r="D339" s="2">
        <v>45444</v>
      </c>
      <c r="E339" s="1" t="s">
        <v>32</v>
      </c>
      <c r="F339" s="4">
        <v>9236.41</v>
      </c>
      <c r="G339" s="1" t="s">
        <v>33</v>
      </c>
      <c r="H339" s="2">
        <v>46002</v>
      </c>
      <c r="I339" s="1">
        <v>1</v>
      </c>
      <c r="J339" s="1" t="s">
        <v>47</v>
      </c>
      <c r="K339" s="1" t="str">
        <f>_xlfn.TEXTBEFORE(tbl_SaaS_Audit[[#This Row],[region]],"-")</f>
        <v>NA</v>
      </c>
      <c r="L339" s="8" t="str">
        <f>_xlfn.TEXTAFTER(tbl_SaaS_Audit[[#This Row],[region]],"-")</f>
        <v>WEST</v>
      </c>
      <c r="M339" s="8">
        <f t="shared" si="5"/>
        <v>18</v>
      </c>
      <c r="N339" s="4">
        <f>tbl_SaaS_Audit[[#This Row],[Tenure_Months]]*tbl_SaaS_Audit[[#This Row],[Monthly_Revenue]]</f>
        <v>166255.38</v>
      </c>
      <c r="O339" s="3" t="str" cm="1">
        <f t="array" ref="O33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39" s="4" cm="1">
        <f t="array" ref="P339">_xlfn.IFS(tbl_SaaS_Audit[[#This Row],[Risk_Level]]="CRITICAL RISK",tbl_SaaS_Audit[[#This Row],[Monthly_Revenue]]*12,TRUE,0)</f>
        <v>0</v>
      </c>
    </row>
    <row r="340" spans="1:16">
      <c r="A340" s="1">
        <v>339</v>
      </c>
      <c r="B340" s="1" t="s">
        <v>264</v>
      </c>
      <c r="C340" s="1" t="s">
        <v>15</v>
      </c>
      <c r="D340" s="2">
        <v>45596</v>
      </c>
      <c r="E340" s="1" t="s">
        <v>41</v>
      </c>
      <c r="F340" s="4">
        <v>4553.53</v>
      </c>
      <c r="G340" s="1" t="s">
        <v>33</v>
      </c>
      <c r="H340" s="2">
        <v>45929</v>
      </c>
      <c r="I340" s="1">
        <v>10</v>
      </c>
      <c r="J340" s="1" t="s">
        <v>47</v>
      </c>
      <c r="K340" s="1" t="str">
        <f>_xlfn.TEXTBEFORE(tbl_SaaS_Audit[[#This Row],[region]],"-")</f>
        <v>NA</v>
      </c>
      <c r="L340" s="8" t="str">
        <f>_xlfn.TEXTAFTER(tbl_SaaS_Audit[[#This Row],[region]],"-")</f>
        <v>WEST</v>
      </c>
      <c r="M340" s="8">
        <f t="shared" si="5"/>
        <v>11</v>
      </c>
      <c r="N340" s="4">
        <f>tbl_SaaS_Audit[[#This Row],[Tenure_Months]]*tbl_SaaS_Audit[[#This Row],[Monthly_Revenue]]</f>
        <v>50088.829999999994</v>
      </c>
      <c r="O340" s="3" t="str" cm="1">
        <f t="array" ref="O34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40" s="4" cm="1">
        <f t="array" ref="P340">_xlfn.IFS(tbl_SaaS_Audit[[#This Row],[Risk_Level]]="CRITICAL RISK",tbl_SaaS_Audit[[#This Row],[Monthly_Revenue]]*12,TRUE,0)</f>
        <v>0</v>
      </c>
    </row>
    <row r="341" spans="1:16">
      <c r="A341" s="1">
        <v>340</v>
      </c>
      <c r="B341" s="1" t="s">
        <v>265</v>
      </c>
      <c r="C341" s="1" t="s">
        <v>12</v>
      </c>
      <c r="D341" s="2">
        <v>45827</v>
      </c>
      <c r="E341" s="1" t="s">
        <v>41</v>
      </c>
      <c r="F341" s="4">
        <v>2660.21</v>
      </c>
      <c r="G341" s="1" t="s">
        <v>33</v>
      </c>
      <c r="H341" s="2">
        <v>46046</v>
      </c>
      <c r="I341" s="1">
        <v>5</v>
      </c>
      <c r="J341" s="1" t="s">
        <v>37</v>
      </c>
      <c r="K341" s="1" t="str">
        <f>_xlfn.TEXTBEFORE(tbl_SaaS_Audit[[#This Row],[region]],"-")</f>
        <v>MEA</v>
      </c>
      <c r="L341" s="8" t="str">
        <f>_xlfn.TEXTAFTER(tbl_SaaS_Audit[[#This Row],[region]],"-")</f>
        <v>EGY</v>
      </c>
      <c r="M341" s="8">
        <f t="shared" si="5"/>
        <v>7</v>
      </c>
      <c r="N341" s="4">
        <f>tbl_SaaS_Audit[[#This Row],[Tenure_Months]]*tbl_SaaS_Audit[[#This Row],[Monthly_Revenue]]</f>
        <v>18621.47</v>
      </c>
      <c r="O341" s="3" t="str" cm="1">
        <f t="array" ref="O34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41" s="4" cm="1">
        <f t="array" ref="P341">_xlfn.IFS(tbl_SaaS_Audit[[#This Row],[Risk_Level]]="CRITICAL RISK",tbl_SaaS_Audit[[#This Row],[Monthly_Revenue]]*12,TRUE,0)</f>
        <v>0</v>
      </c>
    </row>
    <row r="342" spans="1:16">
      <c r="A342" s="1">
        <v>341</v>
      </c>
      <c r="B342" s="1" t="s">
        <v>143</v>
      </c>
      <c r="C342" s="1" t="s">
        <v>15</v>
      </c>
      <c r="D342" s="2">
        <v>45379</v>
      </c>
      <c r="E342" s="1" t="s">
        <v>39</v>
      </c>
      <c r="F342" s="4">
        <v>13748.35</v>
      </c>
      <c r="G342" s="1" t="s">
        <v>36</v>
      </c>
      <c r="H342" s="1"/>
      <c r="I342" s="1">
        <v>14</v>
      </c>
      <c r="J342" s="1" t="s">
        <v>34</v>
      </c>
      <c r="K342" s="1" t="str">
        <f>_xlfn.TEXTBEFORE(tbl_SaaS_Audit[[#This Row],[region]],"-")</f>
        <v>APAC</v>
      </c>
      <c r="L342" s="8" t="str">
        <f>_xlfn.TEXTAFTER(tbl_SaaS_Audit[[#This Row],[region]],"-")</f>
        <v>SGP</v>
      </c>
      <c r="M342" s="8">
        <f t="shared" si="5"/>
        <v>30</v>
      </c>
      <c r="N342" s="4">
        <f>tbl_SaaS_Audit[[#This Row],[Tenure_Months]]*tbl_SaaS_Audit[[#This Row],[Monthly_Revenue]]</f>
        <v>412450.5</v>
      </c>
      <c r="O342" s="3" t="str" cm="1">
        <f t="array" ref="O34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42" s="4" cm="1">
        <f t="array" ref="P342">_xlfn.IFS(tbl_SaaS_Audit[[#This Row],[Risk_Level]]="CRITICAL RISK",tbl_SaaS_Audit[[#This Row],[Monthly_Revenue]]*12,TRUE,0)</f>
        <v>0</v>
      </c>
    </row>
    <row r="343" spans="1:16">
      <c r="A343" s="1">
        <v>342</v>
      </c>
      <c r="B343" s="1" t="s">
        <v>127</v>
      </c>
      <c r="C343" s="1" t="s">
        <v>15</v>
      </c>
      <c r="D343" s="2">
        <v>45359</v>
      </c>
      <c r="E343" s="1" t="s">
        <v>41</v>
      </c>
      <c r="F343" s="4">
        <v>10704.86</v>
      </c>
      <c r="G343" s="1" t="s">
        <v>49</v>
      </c>
      <c r="H343" s="2">
        <v>45877</v>
      </c>
      <c r="I343" s="1">
        <v>3</v>
      </c>
      <c r="J343" s="1" t="s">
        <v>45</v>
      </c>
      <c r="K343" s="1" t="str">
        <f>_xlfn.TEXTBEFORE(tbl_SaaS_Audit[[#This Row],[region]],"-")</f>
        <v>EU</v>
      </c>
      <c r="L343" s="8" t="str">
        <f>_xlfn.TEXTAFTER(tbl_SaaS_Audit[[#This Row],[region]],"-")</f>
        <v>CENTRAL</v>
      </c>
      <c r="M343" s="8">
        <f t="shared" si="5"/>
        <v>30</v>
      </c>
      <c r="N343" s="4">
        <f>tbl_SaaS_Audit[[#This Row],[Tenure_Months]]*tbl_SaaS_Audit[[#This Row],[Monthly_Revenue]]</f>
        <v>321145.80000000005</v>
      </c>
      <c r="O343" s="3" t="str" cm="1">
        <f t="array" ref="O34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43" s="4" cm="1">
        <f t="array" ref="P343">_xlfn.IFS(tbl_SaaS_Audit[[#This Row],[Risk_Level]]="CRITICAL RISK",tbl_SaaS_Audit[[#This Row],[Monthly_Revenue]]*12,TRUE,0)</f>
        <v>0</v>
      </c>
    </row>
    <row r="344" spans="1:16">
      <c r="A344" s="1">
        <v>343</v>
      </c>
      <c r="B344" s="1" t="s">
        <v>148</v>
      </c>
      <c r="C344" s="1" t="s">
        <v>13</v>
      </c>
      <c r="D344" s="2">
        <v>45501</v>
      </c>
      <c r="E344" s="1" t="s">
        <v>39</v>
      </c>
      <c r="F344" s="4">
        <v>8002.93</v>
      </c>
      <c r="G344" s="1" t="s">
        <v>49</v>
      </c>
      <c r="H344" s="2">
        <v>45878</v>
      </c>
      <c r="I344" s="1">
        <v>18</v>
      </c>
      <c r="J344" s="1" t="s">
        <v>45</v>
      </c>
      <c r="K344" s="1" t="str">
        <f>_xlfn.TEXTBEFORE(tbl_SaaS_Audit[[#This Row],[region]],"-")</f>
        <v>EU</v>
      </c>
      <c r="L344" s="8" t="str">
        <f>_xlfn.TEXTAFTER(tbl_SaaS_Audit[[#This Row],[region]],"-")</f>
        <v>CENTRAL</v>
      </c>
      <c r="M344" s="8">
        <f t="shared" si="5"/>
        <v>26</v>
      </c>
      <c r="N344" s="4">
        <f>tbl_SaaS_Audit[[#This Row],[Tenure_Months]]*tbl_SaaS_Audit[[#This Row],[Monthly_Revenue]]</f>
        <v>208076.18</v>
      </c>
      <c r="O344" s="3" t="str" cm="1">
        <f t="array" ref="O34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44" s="4" cm="1">
        <f t="array" ref="P344">_xlfn.IFS(tbl_SaaS_Audit[[#This Row],[Risk_Level]]="CRITICAL RISK",tbl_SaaS_Audit[[#This Row],[Monthly_Revenue]]*12,TRUE,0)</f>
        <v>0</v>
      </c>
    </row>
    <row r="345" spans="1:16">
      <c r="A345" s="1">
        <v>344</v>
      </c>
      <c r="B345" s="1" t="s">
        <v>172</v>
      </c>
      <c r="C345" s="1" t="s">
        <v>11</v>
      </c>
      <c r="D345" s="2">
        <v>45336</v>
      </c>
      <c r="E345" s="1" t="s">
        <v>41</v>
      </c>
      <c r="F345" s="4">
        <v>6476.52</v>
      </c>
      <c r="G345" s="1" t="s">
        <v>33</v>
      </c>
      <c r="H345" s="2">
        <v>46187</v>
      </c>
      <c r="I345" s="1">
        <v>5</v>
      </c>
      <c r="J345" s="1" t="s">
        <v>37</v>
      </c>
      <c r="K345" s="1" t="str">
        <f>_xlfn.TEXTBEFORE(tbl_SaaS_Audit[[#This Row],[region]],"-")</f>
        <v>MEA</v>
      </c>
      <c r="L345" s="8" t="str">
        <f>_xlfn.TEXTAFTER(tbl_SaaS_Audit[[#This Row],[region]],"-")</f>
        <v>EGY</v>
      </c>
      <c r="M345" s="8">
        <f t="shared" si="5"/>
        <v>28</v>
      </c>
      <c r="N345" s="4">
        <f>tbl_SaaS_Audit[[#This Row],[Tenure_Months]]*tbl_SaaS_Audit[[#This Row],[Monthly_Revenue]]</f>
        <v>181342.56</v>
      </c>
      <c r="O345" s="3" t="str" cm="1">
        <f t="array" ref="O34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45" s="4" cm="1">
        <f t="array" ref="P345">_xlfn.IFS(tbl_SaaS_Audit[[#This Row],[Risk_Level]]="CRITICAL RISK",tbl_SaaS_Audit[[#This Row],[Monthly_Revenue]]*12,TRUE,0)</f>
        <v>0</v>
      </c>
    </row>
    <row r="346" spans="1:16">
      <c r="A346" s="1">
        <v>345</v>
      </c>
      <c r="B346" s="1" t="s">
        <v>93</v>
      </c>
      <c r="C346" s="1" t="s">
        <v>13</v>
      </c>
      <c r="D346" s="2">
        <v>45774</v>
      </c>
      <c r="E346" s="1" t="s">
        <v>41</v>
      </c>
      <c r="F346" s="4">
        <v>8860.0499999999993</v>
      </c>
      <c r="G346" s="1" t="s">
        <v>49</v>
      </c>
      <c r="H346" s="2">
        <v>46205</v>
      </c>
      <c r="I346" s="1">
        <v>3</v>
      </c>
      <c r="J346" s="1" t="s">
        <v>34</v>
      </c>
      <c r="K346" s="1" t="str">
        <f>_xlfn.TEXTBEFORE(tbl_SaaS_Audit[[#This Row],[region]],"-")</f>
        <v>APAC</v>
      </c>
      <c r="L346" s="8" t="str">
        <f>_xlfn.TEXTAFTER(tbl_SaaS_Audit[[#This Row],[region]],"-")</f>
        <v>SGP</v>
      </c>
      <c r="M346" s="8">
        <f t="shared" si="5"/>
        <v>17</v>
      </c>
      <c r="N346" s="4">
        <f>tbl_SaaS_Audit[[#This Row],[Tenure_Months]]*tbl_SaaS_Audit[[#This Row],[Monthly_Revenue]]</f>
        <v>150620.84999999998</v>
      </c>
      <c r="O346" s="3" t="str" cm="1">
        <f t="array" ref="O34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46" s="4" cm="1">
        <f t="array" ref="P346">_xlfn.IFS(tbl_SaaS_Audit[[#This Row],[Risk_Level]]="CRITICAL RISK",tbl_SaaS_Audit[[#This Row],[Monthly_Revenue]]*12,TRUE,0)</f>
        <v>0</v>
      </c>
    </row>
    <row r="347" spans="1:16">
      <c r="A347" s="1">
        <v>346</v>
      </c>
      <c r="B347" s="1" t="s">
        <v>130</v>
      </c>
      <c r="C347" s="1" t="s">
        <v>12</v>
      </c>
      <c r="D347" s="2">
        <v>45651</v>
      </c>
      <c r="E347" s="1" t="s">
        <v>39</v>
      </c>
      <c r="F347" s="4">
        <v>5760.85</v>
      </c>
      <c r="G347" s="1" t="s">
        <v>36</v>
      </c>
      <c r="H347" s="2">
        <v>46246</v>
      </c>
      <c r="I347" s="1">
        <v>5</v>
      </c>
      <c r="J347" s="1" t="s">
        <v>37</v>
      </c>
      <c r="K347" s="1" t="str">
        <f>_xlfn.TEXTBEFORE(tbl_SaaS_Audit[[#This Row],[region]],"-")</f>
        <v>MEA</v>
      </c>
      <c r="L347" s="8" t="str">
        <f>_xlfn.TEXTAFTER(tbl_SaaS_Audit[[#This Row],[region]],"-")</f>
        <v>EGY</v>
      </c>
      <c r="M347" s="8">
        <f t="shared" si="5"/>
        <v>21</v>
      </c>
      <c r="N347" s="4">
        <f>tbl_SaaS_Audit[[#This Row],[Tenure_Months]]*tbl_SaaS_Audit[[#This Row],[Monthly_Revenue]]</f>
        <v>120977.85</v>
      </c>
      <c r="O347" s="3" t="str" cm="1">
        <f t="array" ref="O34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47" s="4" cm="1">
        <f t="array" ref="P347">_xlfn.IFS(tbl_SaaS_Audit[[#This Row],[Risk_Level]]="CRITICAL RISK",tbl_SaaS_Audit[[#This Row],[Monthly_Revenue]]*12,TRUE,0)</f>
        <v>0</v>
      </c>
    </row>
    <row r="348" spans="1:16">
      <c r="A348" s="1">
        <v>347</v>
      </c>
      <c r="B348" s="1" t="s">
        <v>266</v>
      </c>
      <c r="C348" s="1" t="s">
        <v>13</v>
      </c>
      <c r="D348" s="2">
        <v>45499</v>
      </c>
      <c r="E348" s="1" t="s">
        <v>39</v>
      </c>
      <c r="F348" s="4">
        <v>3455.66</v>
      </c>
      <c r="G348" s="1" t="s">
        <v>42</v>
      </c>
      <c r="H348" s="2">
        <v>46222</v>
      </c>
      <c r="I348" s="1">
        <v>15</v>
      </c>
      <c r="J348" s="1" t="s">
        <v>51</v>
      </c>
      <c r="K348" s="1" t="str">
        <f>_xlfn.TEXTBEFORE(tbl_SaaS_Audit[[#This Row],[region]],"-")</f>
        <v>NA</v>
      </c>
      <c r="L348" s="8" t="str">
        <f>_xlfn.TEXTAFTER(tbl_SaaS_Audit[[#This Row],[region]],"-")</f>
        <v>EAST</v>
      </c>
      <c r="M348" s="8">
        <f t="shared" si="5"/>
        <v>26</v>
      </c>
      <c r="N348" s="4">
        <f>tbl_SaaS_Audit[[#This Row],[Tenure_Months]]*tbl_SaaS_Audit[[#This Row],[Monthly_Revenue]]</f>
        <v>89847.16</v>
      </c>
      <c r="O348" s="3" t="str" cm="1">
        <f t="array" ref="O34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48" s="4" cm="1">
        <f t="array" ref="P348">_xlfn.IFS(tbl_SaaS_Audit[[#This Row],[Risk_Level]]="CRITICAL RISK",tbl_SaaS_Audit[[#This Row],[Monthly_Revenue]]*12,TRUE,0)</f>
        <v>41467.919999999998</v>
      </c>
    </row>
    <row r="349" spans="1:16">
      <c r="A349" s="1">
        <v>348</v>
      </c>
      <c r="B349" s="1" t="s">
        <v>265</v>
      </c>
      <c r="C349" s="1" t="s">
        <v>15</v>
      </c>
      <c r="D349" s="2">
        <v>45495</v>
      </c>
      <c r="E349" s="1" t="s">
        <v>41</v>
      </c>
      <c r="F349" s="4">
        <v>7633.5</v>
      </c>
      <c r="G349" s="1" t="s">
        <v>36</v>
      </c>
      <c r="H349" s="1"/>
      <c r="I349" s="1">
        <v>3</v>
      </c>
      <c r="J349" s="1" t="s">
        <v>45</v>
      </c>
      <c r="K349" s="1" t="str">
        <f>_xlfn.TEXTBEFORE(tbl_SaaS_Audit[[#This Row],[region]],"-")</f>
        <v>EU</v>
      </c>
      <c r="L349" s="8" t="str">
        <f>_xlfn.TEXTAFTER(tbl_SaaS_Audit[[#This Row],[region]],"-")</f>
        <v>CENTRAL</v>
      </c>
      <c r="M349" s="8">
        <f t="shared" si="5"/>
        <v>26</v>
      </c>
      <c r="N349" s="4">
        <f>tbl_SaaS_Audit[[#This Row],[Tenure_Months]]*tbl_SaaS_Audit[[#This Row],[Monthly_Revenue]]</f>
        <v>198471</v>
      </c>
      <c r="O349" s="3" t="str" cm="1">
        <f t="array" ref="O34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49" s="4" cm="1">
        <f t="array" ref="P349">_xlfn.IFS(tbl_SaaS_Audit[[#This Row],[Risk_Level]]="CRITICAL RISK",tbl_SaaS_Audit[[#This Row],[Monthly_Revenue]]*12,TRUE,0)</f>
        <v>0</v>
      </c>
    </row>
    <row r="350" spans="1:16">
      <c r="A350" s="1">
        <v>349</v>
      </c>
      <c r="B350" s="1" t="s">
        <v>103</v>
      </c>
      <c r="C350" s="1" t="s">
        <v>14</v>
      </c>
      <c r="D350" s="2">
        <v>45725</v>
      </c>
      <c r="E350" s="1" t="s">
        <v>32</v>
      </c>
      <c r="F350" s="4">
        <v>4687.66</v>
      </c>
      <c r="G350" s="1" t="s">
        <v>36</v>
      </c>
      <c r="H350" s="2">
        <v>46004</v>
      </c>
      <c r="I350" s="1">
        <v>15</v>
      </c>
      <c r="J350" s="1" t="s">
        <v>47</v>
      </c>
      <c r="K350" s="1" t="str">
        <f>_xlfn.TEXTBEFORE(tbl_SaaS_Audit[[#This Row],[region]],"-")</f>
        <v>NA</v>
      </c>
      <c r="L350" s="8" t="str">
        <f>_xlfn.TEXTAFTER(tbl_SaaS_Audit[[#This Row],[region]],"-")</f>
        <v>WEST</v>
      </c>
      <c r="M350" s="8">
        <f t="shared" si="5"/>
        <v>18</v>
      </c>
      <c r="N350" s="4">
        <f>tbl_SaaS_Audit[[#This Row],[Tenure_Months]]*tbl_SaaS_Audit[[#This Row],[Monthly_Revenue]]</f>
        <v>84377.88</v>
      </c>
      <c r="O350" s="3" t="str" cm="1">
        <f t="array" ref="O35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50" s="4" cm="1">
        <f t="array" ref="P350">_xlfn.IFS(tbl_SaaS_Audit[[#This Row],[Risk_Level]]="CRITICAL RISK",tbl_SaaS_Audit[[#This Row],[Monthly_Revenue]]*12,TRUE,0)</f>
        <v>0</v>
      </c>
    </row>
    <row r="351" spans="1:16">
      <c r="A351" s="1">
        <v>350</v>
      </c>
      <c r="B351" s="1" t="s">
        <v>267</v>
      </c>
      <c r="C351" s="1" t="s">
        <v>12</v>
      </c>
      <c r="D351" s="2">
        <v>45723</v>
      </c>
      <c r="E351" s="1" t="s">
        <v>39</v>
      </c>
      <c r="F351" s="4">
        <v>8373.3700000000008</v>
      </c>
      <c r="G351" s="1" t="s">
        <v>33</v>
      </c>
      <c r="H351" s="2">
        <v>45894</v>
      </c>
      <c r="I351" s="1">
        <v>0</v>
      </c>
      <c r="J351" s="1" t="s">
        <v>45</v>
      </c>
      <c r="K351" s="1" t="str">
        <f>_xlfn.TEXTBEFORE(tbl_SaaS_Audit[[#This Row],[region]],"-")</f>
        <v>EU</v>
      </c>
      <c r="L351" s="8" t="str">
        <f>_xlfn.TEXTAFTER(tbl_SaaS_Audit[[#This Row],[region]],"-")</f>
        <v>CENTRAL</v>
      </c>
      <c r="M351" s="8">
        <f t="shared" si="5"/>
        <v>5</v>
      </c>
      <c r="N351" s="4">
        <f>tbl_SaaS_Audit[[#This Row],[Tenure_Months]]*tbl_SaaS_Audit[[#This Row],[Monthly_Revenue]]</f>
        <v>41866.850000000006</v>
      </c>
      <c r="O351" s="3" t="str" cm="1">
        <f t="array" ref="O35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51" s="4" cm="1">
        <f t="array" ref="P351">_xlfn.IFS(tbl_SaaS_Audit[[#This Row],[Risk_Level]]="CRITICAL RISK",tbl_SaaS_Audit[[#This Row],[Monthly_Revenue]]*12,TRUE,0)</f>
        <v>0</v>
      </c>
    </row>
    <row r="352" spans="1:16">
      <c r="A352" s="1">
        <v>351</v>
      </c>
      <c r="B352" s="1" t="s">
        <v>82</v>
      </c>
      <c r="C352" s="1" t="s">
        <v>14</v>
      </c>
      <c r="D352" s="2">
        <v>45510</v>
      </c>
      <c r="E352" s="1" t="s">
        <v>41</v>
      </c>
      <c r="F352" s="4">
        <v>1419.95</v>
      </c>
      <c r="G352" s="1" t="s">
        <v>42</v>
      </c>
      <c r="H352" s="2">
        <v>46210</v>
      </c>
      <c r="I352" s="1">
        <v>13</v>
      </c>
      <c r="J352" s="1" t="s">
        <v>45</v>
      </c>
      <c r="K352" s="1" t="str">
        <f>_xlfn.TEXTBEFORE(tbl_SaaS_Audit[[#This Row],[region]],"-")</f>
        <v>EU</v>
      </c>
      <c r="L352" s="8" t="str">
        <f>_xlfn.TEXTAFTER(tbl_SaaS_Audit[[#This Row],[region]],"-")</f>
        <v>CENTRAL</v>
      </c>
      <c r="M352" s="8">
        <f t="shared" si="5"/>
        <v>25</v>
      </c>
      <c r="N352" s="4">
        <f>tbl_SaaS_Audit[[#This Row],[Tenure_Months]]*tbl_SaaS_Audit[[#This Row],[Monthly_Revenue]]</f>
        <v>35498.75</v>
      </c>
      <c r="O352" s="3" t="str" cm="1">
        <f t="array" ref="O35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52" s="4" cm="1">
        <f t="array" ref="P352">_xlfn.IFS(tbl_SaaS_Audit[[#This Row],[Risk_Level]]="CRITICAL RISK",tbl_SaaS_Audit[[#This Row],[Monthly_Revenue]]*12,TRUE,0)</f>
        <v>17039.400000000001</v>
      </c>
    </row>
    <row r="353" spans="1:16">
      <c r="A353" s="1">
        <v>352</v>
      </c>
      <c r="B353" s="1" t="s">
        <v>235</v>
      </c>
      <c r="C353" s="1" t="s">
        <v>12</v>
      </c>
      <c r="D353" s="2">
        <v>45365</v>
      </c>
      <c r="E353" s="1" t="s">
        <v>32</v>
      </c>
      <c r="F353" s="4">
        <v>10562.54</v>
      </c>
      <c r="G353" s="1" t="s">
        <v>33</v>
      </c>
      <c r="H353" s="1"/>
      <c r="I353" s="1">
        <v>13</v>
      </c>
      <c r="J353" s="1" t="s">
        <v>51</v>
      </c>
      <c r="K353" s="1" t="str">
        <f>_xlfn.TEXTBEFORE(tbl_SaaS_Audit[[#This Row],[region]],"-")</f>
        <v>NA</v>
      </c>
      <c r="L353" s="8" t="str">
        <f>_xlfn.TEXTAFTER(tbl_SaaS_Audit[[#This Row],[region]],"-")</f>
        <v>EAST</v>
      </c>
      <c r="M353" s="8">
        <f t="shared" si="5"/>
        <v>30</v>
      </c>
      <c r="N353" s="4">
        <f>tbl_SaaS_Audit[[#This Row],[Tenure_Months]]*tbl_SaaS_Audit[[#This Row],[Monthly_Revenue]]</f>
        <v>316876.2</v>
      </c>
      <c r="O353" s="3" t="str" cm="1">
        <f t="array" ref="O35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53" s="4" cm="1">
        <f t="array" ref="P353">_xlfn.IFS(tbl_SaaS_Audit[[#This Row],[Risk_Level]]="CRITICAL RISK",tbl_SaaS_Audit[[#This Row],[Monthly_Revenue]]*12,TRUE,0)</f>
        <v>0</v>
      </c>
    </row>
    <row r="354" spans="1:16">
      <c r="A354" s="1">
        <v>353</v>
      </c>
      <c r="B354" s="1" t="s">
        <v>268</v>
      </c>
      <c r="C354" s="1" t="s">
        <v>12</v>
      </c>
      <c r="D354" s="2">
        <v>45721</v>
      </c>
      <c r="E354" s="1" t="s">
        <v>41</v>
      </c>
      <c r="F354" s="4">
        <v>1755.09</v>
      </c>
      <c r="G354" s="1" t="s">
        <v>49</v>
      </c>
      <c r="H354" s="2">
        <v>46104</v>
      </c>
      <c r="I354" s="1">
        <v>6</v>
      </c>
      <c r="J354" s="1" t="s">
        <v>47</v>
      </c>
      <c r="K354" s="1" t="str">
        <f>_xlfn.TEXTBEFORE(tbl_SaaS_Audit[[#This Row],[region]],"-")</f>
        <v>NA</v>
      </c>
      <c r="L354" s="8" t="str">
        <f>_xlfn.TEXTAFTER(tbl_SaaS_Audit[[#This Row],[region]],"-")</f>
        <v>WEST</v>
      </c>
      <c r="M354" s="8">
        <f t="shared" si="5"/>
        <v>18</v>
      </c>
      <c r="N354" s="4">
        <f>tbl_SaaS_Audit[[#This Row],[Tenure_Months]]*tbl_SaaS_Audit[[#This Row],[Monthly_Revenue]]</f>
        <v>31591.62</v>
      </c>
      <c r="O354" s="3" t="str" cm="1">
        <f t="array" ref="O35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54" s="4" cm="1">
        <f t="array" ref="P354">_xlfn.IFS(tbl_SaaS_Audit[[#This Row],[Risk_Level]]="CRITICAL RISK",tbl_SaaS_Audit[[#This Row],[Monthly_Revenue]]*12,TRUE,0)</f>
        <v>0</v>
      </c>
    </row>
    <row r="355" spans="1:16">
      <c r="A355" s="1">
        <v>354</v>
      </c>
      <c r="B355" s="1" t="s">
        <v>245</v>
      </c>
      <c r="C355" s="1" t="s">
        <v>14</v>
      </c>
      <c r="D355" s="2">
        <v>45598</v>
      </c>
      <c r="E355" s="1" t="s">
        <v>32</v>
      </c>
      <c r="F355" s="4">
        <v>14815.27</v>
      </c>
      <c r="G355" s="1" t="s">
        <v>42</v>
      </c>
      <c r="H355" s="2">
        <v>46196</v>
      </c>
      <c r="I355" s="1">
        <v>1</v>
      </c>
      <c r="J355" s="1" t="s">
        <v>51</v>
      </c>
      <c r="K355" s="1" t="str">
        <f>_xlfn.TEXTBEFORE(tbl_SaaS_Audit[[#This Row],[region]],"-")</f>
        <v>NA</v>
      </c>
      <c r="L355" s="8" t="str">
        <f>_xlfn.TEXTAFTER(tbl_SaaS_Audit[[#This Row],[region]],"-")</f>
        <v>EAST</v>
      </c>
      <c r="M355" s="8">
        <f t="shared" si="5"/>
        <v>22</v>
      </c>
      <c r="N355" s="4">
        <f>tbl_SaaS_Audit[[#This Row],[Tenure_Months]]*tbl_SaaS_Audit[[#This Row],[Monthly_Revenue]]</f>
        <v>325935.94</v>
      </c>
      <c r="O355" s="3" t="str" cm="1">
        <f t="array" ref="O35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55" s="4" cm="1">
        <f t="array" ref="P355">_xlfn.IFS(tbl_SaaS_Audit[[#This Row],[Risk_Level]]="CRITICAL RISK",tbl_SaaS_Audit[[#This Row],[Monthly_Revenue]]*12,TRUE,0)</f>
        <v>0</v>
      </c>
    </row>
    <row r="356" spans="1:16">
      <c r="A356" s="1">
        <v>355</v>
      </c>
      <c r="B356" s="1" t="s">
        <v>269</v>
      </c>
      <c r="C356" s="1" t="s">
        <v>15</v>
      </c>
      <c r="D356" s="2">
        <v>45520</v>
      </c>
      <c r="E356" s="1" t="s">
        <v>41</v>
      </c>
      <c r="F356" s="4">
        <v>2807.99</v>
      </c>
      <c r="G356" s="1" t="s">
        <v>42</v>
      </c>
      <c r="H356" s="2">
        <v>45920</v>
      </c>
      <c r="I356" s="1">
        <v>11</v>
      </c>
      <c r="J356" s="1" t="s">
        <v>34</v>
      </c>
      <c r="K356" s="1" t="str">
        <f>_xlfn.TEXTBEFORE(tbl_SaaS_Audit[[#This Row],[region]],"-")</f>
        <v>APAC</v>
      </c>
      <c r="L356" s="8" t="str">
        <f>_xlfn.TEXTAFTER(tbl_SaaS_Audit[[#This Row],[region]],"-")</f>
        <v>SGP</v>
      </c>
      <c r="M356" s="8">
        <f t="shared" si="5"/>
        <v>25</v>
      </c>
      <c r="N356" s="4">
        <f>tbl_SaaS_Audit[[#This Row],[Tenure_Months]]*tbl_SaaS_Audit[[#This Row],[Monthly_Revenue]]</f>
        <v>70199.75</v>
      </c>
      <c r="O356" s="3" t="str" cm="1">
        <f t="array" ref="O35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56" s="4" cm="1">
        <f t="array" ref="P356">_xlfn.IFS(tbl_SaaS_Audit[[#This Row],[Risk_Level]]="CRITICAL RISK",tbl_SaaS_Audit[[#This Row],[Monthly_Revenue]]*12,TRUE,0)</f>
        <v>33695.879999999997</v>
      </c>
    </row>
    <row r="357" spans="1:16">
      <c r="A357" s="1">
        <v>356</v>
      </c>
      <c r="B357" s="1" t="s">
        <v>152</v>
      </c>
      <c r="C357" s="1" t="s">
        <v>13</v>
      </c>
      <c r="D357" s="2">
        <v>45666</v>
      </c>
      <c r="E357" s="1" t="s">
        <v>32</v>
      </c>
      <c r="F357" s="4">
        <v>13661.29</v>
      </c>
      <c r="G357" s="1" t="s">
        <v>42</v>
      </c>
      <c r="H357" s="2">
        <v>46188</v>
      </c>
      <c r="I357" s="1">
        <v>5</v>
      </c>
      <c r="J357" s="1" t="s">
        <v>45</v>
      </c>
      <c r="K357" s="1" t="str">
        <f>_xlfn.TEXTBEFORE(tbl_SaaS_Audit[[#This Row],[region]],"-")</f>
        <v>EU</v>
      </c>
      <c r="L357" s="8" t="str">
        <f>_xlfn.TEXTAFTER(tbl_SaaS_Audit[[#This Row],[region]],"-")</f>
        <v>CENTRAL</v>
      </c>
      <c r="M357" s="8">
        <f t="shared" si="5"/>
        <v>20</v>
      </c>
      <c r="N357" s="4">
        <f>tbl_SaaS_Audit[[#This Row],[Tenure_Months]]*tbl_SaaS_Audit[[#This Row],[Monthly_Revenue]]</f>
        <v>273225.80000000005</v>
      </c>
      <c r="O357" s="3" t="str" cm="1">
        <f t="array" ref="O35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57" s="4" cm="1">
        <f t="array" ref="P357">_xlfn.IFS(tbl_SaaS_Audit[[#This Row],[Risk_Level]]="CRITICAL RISK",tbl_SaaS_Audit[[#This Row],[Monthly_Revenue]]*12,TRUE,0)</f>
        <v>0</v>
      </c>
    </row>
    <row r="358" spans="1:16">
      <c r="A358" s="1">
        <v>357</v>
      </c>
      <c r="B358" s="1" t="s">
        <v>270</v>
      </c>
      <c r="C358" s="1" t="s">
        <v>13</v>
      </c>
      <c r="D358" s="2">
        <v>45632</v>
      </c>
      <c r="E358" s="1" t="s">
        <v>39</v>
      </c>
      <c r="F358" s="4">
        <v>8682.92</v>
      </c>
      <c r="G358" s="1" t="s">
        <v>42</v>
      </c>
      <c r="H358" s="2">
        <v>46128</v>
      </c>
      <c r="I358" s="1">
        <v>6</v>
      </c>
      <c r="J358" s="1" t="s">
        <v>51</v>
      </c>
      <c r="K358" s="1" t="str">
        <f>_xlfn.TEXTBEFORE(tbl_SaaS_Audit[[#This Row],[region]],"-")</f>
        <v>NA</v>
      </c>
      <c r="L358" s="8" t="str">
        <f>_xlfn.TEXTAFTER(tbl_SaaS_Audit[[#This Row],[region]],"-")</f>
        <v>EAST</v>
      </c>
      <c r="M358" s="8">
        <f t="shared" si="5"/>
        <v>21</v>
      </c>
      <c r="N358" s="4">
        <f>tbl_SaaS_Audit[[#This Row],[Tenure_Months]]*tbl_SaaS_Audit[[#This Row],[Monthly_Revenue]]</f>
        <v>182341.32</v>
      </c>
      <c r="O358" s="3" t="str" cm="1">
        <f t="array" ref="O35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58" s="4" cm="1">
        <f t="array" ref="P358">_xlfn.IFS(tbl_SaaS_Audit[[#This Row],[Risk_Level]]="CRITICAL RISK",tbl_SaaS_Audit[[#This Row],[Monthly_Revenue]]*12,TRUE,0)</f>
        <v>0</v>
      </c>
    </row>
    <row r="359" spans="1:16">
      <c r="A359" s="1">
        <v>358</v>
      </c>
      <c r="B359" s="1" t="s">
        <v>62</v>
      </c>
      <c r="C359" s="1" t="s">
        <v>15</v>
      </c>
      <c r="D359" s="2">
        <v>45616</v>
      </c>
      <c r="E359" s="1" t="s">
        <v>32</v>
      </c>
      <c r="F359" s="4">
        <v>11555.58</v>
      </c>
      <c r="G359" s="1" t="s">
        <v>33</v>
      </c>
      <c r="H359" s="2">
        <v>46026</v>
      </c>
      <c r="I359" s="1">
        <v>18</v>
      </c>
      <c r="J359" s="1" t="s">
        <v>47</v>
      </c>
      <c r="K359" s="1" t="str">
        <f>_xlfn.TEXTBEFORE(tbl_SaaS_Audit[[#This Row],[region]],"-")</f>
        <v>NA</v>
      </c>
      <c r="L359" s="8" t="str">
        <f>_xlfn.TEXTAFTER(tbl_SaaS_Audit[[#This Row],[region]],"-")</f>
        <v>WEST</v>
      </c>
      <c r="M359" s="8">
        <f t="shared" si="5"/>
        <v>14</v>
      </c>
      <c r="N359" s="4">
        <f>tbl_SaaS_Audit[[#This Row],[Tenure_Months]]*tbl_SaaS_Audit[[#This Row],[Monthly_Revenue]]</f>
        <v>161778.12</v>
      </c>
      <c r="O359" s="3" t="str" cm="1">
        <f t="array" ref="O35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59" s="4" cm="1">
        <f t="array" ref="P359">_xlfn.IFS(tbl_SaaS_Audit[[#This Row],[Risk_Level]]="CRITICAL RISK",tbl_SaaS_Audit[[#This Row],[Monthly_Revenue]]*12,TRUE,0)</f>
        <v>0</v>
      </c>
    </row>
    <row r="360" spans="1:16">
      <c r="A360" s="1">
        <v>359</v>
      </c>
      <c r="B360" s="1" t="s">
        <v>271</v>
      </c>
      <c r="C360" s="1" t="s">
        <v>15</v>
      </c>
      <c r="D360" s="2">
        <v>45351</v>
      </c>
      <c r="E360" s="1" t="s">
        <v>41</v>
      </c>
      <c r="F360" s="4">
        <v>6887.26</v>
      </c>
      <c r="G360" s="1" t="s">
        <v>33</v>
      </c>
      <c r="H360" s="2">
        <v>46201</v>
      </c>
      <c r="I360" s="1">
        <v>10</v>
      </c>
      <c r="J360" s="1" t="s">
        <v>51</v>
      </c>
      <c r="K360" s="1" t="str">
        <f>_xlfn.TEXTBEFORE(tbl_SaaS_Audit[[#This Row],[region]],"-")</f>
        <v>NA</v>
      </c>
      <c r="L360" s="8" t="str">
        <f>_xlfn.TEXTAFTER(tbl_SaaS_Audit[[#This Row],[region]],"-")</f>
        <v>EAST</v>
      </c>
      <c r="M360" s="8">
        <f t="shared" si="5"/>
        <v>28</v>
      </c>
      <c r="N360" s="4">
        <f>tbl_SaaS_Audit[[#This Row],[Tenure_Months]]*tbl_SaaS_Audit[[#This Row],[Monthly_Revenue]]</f>
        <v>192843.28</v>
      </c>
      <c r="O360" s="3" t="str" cm="1">
        <f t="array" ref="O36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60" s="4" cm="1">
        <f t="array" ref="P360">_xlfn.IFS(tbl_SaaS_Audit[[#This Row],[Risk_Level]]="CRITICAL RISK",tbl_SaaS_Audit[[#This Row],[Monthly_Revenue]]*12,TRUE,0)</f>
        <v>0</v>
      </c>
    </row>
    <row r="361" spans="1:16">
      <c r="A361" s="1">
        <v>360</v>
      </c>
      <c r="B361" s="1" t="s">
        <v>215</v>
      </c>
      <c r="C361" s="1" t="s">
        <v>11</v>
      </c>
      <c r="D361" s="2">
        <v>45347</v>
      </c>
      <c r="E361" s="1" t="s">
        <v>32</v>
      </c>
      <c r="F361" s="4">
        <v>9769.35</v>
      </c>
      <c r="G361" s="1" t="s">
        <v>42</v>
      </c>
      <c r="H361" s="2">
        <v>45971</v>
      </c>
      <c r="I361" s="1">
        <v>9</v>
      </c>
      <c r="J361" s="1" t="s">
        <v>37</v>
      </c>
      <c r="K361" s="1" t="str">
        <f>_xlfn.TEXTBEFORE(tbl_SaaS_Audit[[#This Row],[region]],"-")</f>
        <v>MEA</v>
      </c>
      <c r="L361" s="8" t="str">
        <f>_xlfn.TEXTAFTER(tbl_SaaS_Audit[[#This Row],[region]],"-")</f>
        <v>EGY</v>
      </c>
      <c r="M361" s="8">
        <f t="shared" si="5"/>
        <v>31</v>
      </c>
      <c r="N361" s="4">
        <f>tbl_SaaS_Audit[[#This Row],[Tenure_Months]]*tbl_SaaS_Audit[[#This Row],[Monthly_Revenue]]</f>
        <v>302849.85000000003</v>
      </c>
      <c r="O361" s="3" t="str" cm="1">
        <f t="array" ref="O36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61" s="4" cm="1">
        <f t="array" ref="P361">_xlfn.IFS(tbl_SaaS_Audit[[#This Row],[Risk_Level]]="CRITICAL RISK",tbl_SaaS_Audit[[#This Row],[Monthly_Revenue]]*12,TRUE,0)</f>
        <v>0</v>
      </c>
    </row>
    <row r="362" spans="1:16">
      <c r="A362" s="1">
        <v>361</v>
      </c>
      <c r="B362" s="1" t="s">
        <v>223</v>
      </c>
      <c r="C362" s="1" t="s">
        <v>13</v>
      </c>
      <c r="D362" s="2">
        <v>45418</v>
      </c>
      <c r="E362" s="1" t="s">
        <v>32</v>
      </c>
      <c r="F362" s="4">
        <v>11536.85</v>
      </c>
      <c r="G362" s="1" t="s">
        <v>49</v>
      </c>
      <c r="H362" s="2">
        <v>45975</v>
      </c>
      <c r="I362" s="1">
        <v>18</v>
      </c>
      <c r="J362" s="1" t="s">
        <v>45</v>
      </c>
      <c r="K362" s="1" t="str">
        <f>_xlfn.TEXTBEFORE(tbl_SaaS_Audit[[#This Row],[region]],"-")</f>
        <v>EU</v>
      </c>
      <c r="L362" s="8" t="str">
        <f>_xlfn.TEXTAFTER(tbl_SaaS_Audit[[#This Row],[region]],"-")</f>
        <v>CENTRAL</v>
      </c>
      <c r="M362" s="8">
        <f t="shared" si="5"/>
        <v>28</v>
      </c>
      <c r="N362" s="4">
        <f>tbl_SaaS_Audit[[#This Row],[Tenure_Months]]*tbl_SaaS_Audit[[#This Row],[Monthly_Revenue]]</f>
        <v>323031.8</v>
      </c>
      <c r="O362" s="3" t="str" cm="1">
        <f t="array" ref="O36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62" s="4" cm="1">
        <f t="array" ref="P362">_xlfn.IFS(tbl_SaaS_Audit[[#This Row],[Risk_Level]]="CRITICAL RISK",tbl_SaaS_Audit[[#This Row],[Monthly_Revenue]]*12,TRUE,0)</f>
        <v>0</v>
      </c>
    </row>
    <row r="363" spans="1:16">
      <c r="A363" s="1">
        <v>362</v>
      </c>
      <c r="B363" s="1" t="s">
        <v>272</v>
      </c>
      <c r="C363" s="1" t="s">
        <v>14</v>
      </c>
      <c r="D363" s="2">
        <v>45752</v>
      </c>
      <c r="E363" s="1" t="s">
        <v>32</v>
      </c>
      <c r="F363" s="4">
        <v>8551.69</v>
      </c>
      <c r="G363" s="1" t="s">
        <v>33</v>
      </c>
      <c r="H363" s="2">
        <v>45906</v>
      </c>
      <c r="I363" s="1">
        <v>11</v>
      </c>
      <c r="J363" s="1" t="s">
        <v>45</v>
      </c>
      <c r="K363" s="1" t="str">
        <f>_xlfn.TEXTBEFORE(tbl_SaaS_Audit[[#This Row],[region]],"-")</f>
        <v>EU</v>
      </c>
      <c r="L363" s="8" t="str">
        <f>_xlfn.TEXTAFTER(tbl_SaaS_Audit[[#This Row],[region]],"-")</f>
        <v>CENTRAL</v>
      </c>
      <c r="M363" s="8">
        <f t="shared" si="5"/>
        <v>5</v>
      </c>
      <c r="N363" s="4">
        <f>tbl_SaaS_Audit[[#This Row],[Tenure_Months]]*tbl_SaaS_Audit[[#This Row],[Monthly_Revenue]]</f>
        <v>42758.450000000004</v>
      </c>
      <c r="O363" s="3" t="str" cm="1">
        <f t="array" ref="O36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63" s="4" cm="1">
        <f t="array" ref="P363">_xlfn.IFS(tbl_SaaS_Audit[[#This Row],[Risk_Level]]="CRITICAL RISK",tbl_SaaS_Audit[[#This Row],[Monthly_Revenue]]*12,TRUE,0)</f>
        <v>0</v>
      </c>
    </row>
    <row r="364" spans="1:16">
      <c r="A364" s="1">
        <v>363</v>
      </c>
      <c r="B364" s="1" t="s">
        <v>128</v>
      </c>
      <c r="C364" s="1" t="s">
        <v>11</v>
      </c>
      <c r="D364" s="2">
        <v>45396</v>
      </c>
      <c r="E364" s="1" t="s">
        <v>32</v>
      </c>
      <c r="F364" s="4">
        <v>14895.18</v>
      </c>
      <c r="G364" s="1" t="s">
        <v>36</v>
      </c>
      <c r="H364" s="2">
        <v>45894</v>
      </c>
      <c r="I364" s="1">
        <v>7</v>
      </c>
      <c r="J364" s="1" t="s">
        <v>45</v>
      </c>
      <c r="K364" s="1" t="str">
        <f>_xlfn.TEXTBEFORE(tbl_SaaS_Audit[[#This Row],[region]],"-")</f>
        <v>EU</v>
      </c>
      <c r="L364" s="8" t="str">
        <f>_xlfn.TEXTAFTER(tbl_SaaS_Audit[[#This Row],[region]],"-")</f>
        <v>CENTRAL</v>
      </c>
      <c r="M364" s="8">
        <f t="shared" si="5"/>
        <v>29</v>
      </c>
      <c r="N364" s="4">
        <f>tbl_SaaS_Audit[[#This Row],[Tenure_Months]]*tbl_SaaS_Audit[[#This Row],[Monthly_Revenue]]</f>
        <v>431960.22000000003</v>
      </c>
      <c r="O364" s="3" t="str" cm="1">
        <f t="array" ref="O36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64" s="4" cm="1">
        <f t="array" ref="P364">_xlfn.IFS(tbl_SaaS_Audit[[#This Row],[Risk_Level]]="CRITICAL RISK",tbl_SaaS_Audit[[#This Row],[Monthly_Revenue]]*12,TRUE,0)</f>
        <v>0</v>
      </c>
    </row>
    <row r="365" spans="1:16">
      <c r="A365" s="1">
        <v>364</v>
      </c>
      <c r="B365" s="1" t="s">
        <v>86</v>
      </c>
      <c r="C365" s="1" t="s">
        <v>15</v>
      </c>
      <c r="D365" s="2">
        <v>45697</v>
      </c>
      <c r="E365" s="1" t="s">
        <v>32</v>
      </c>
      <c r="F365" s="4">
        <v>13205.53</v>
      </c>
      <c r="G365" s="1" t="s">
        <v>33</v>
      </c>
      <c r="H365" s="1"/>
      <c r="I365" s="1">
        <v>16</v>
      </c>
      <c r="J365" s="1" t="s">
        <v>51</v>
      </c>
      <c r="K365" s="1" t="str">
        <f>_xlfn.TEXTBEFORE(tbl_SaaS_Audit[[#This Row],[region]],"-")</f>
        <v>NA</v>
      </c>
      <c r="L365" s="8" t="str">
        <f>_xlfn.TEXTAFTER(tbl_SaaS_Audit[[#This Row],[region]],"-")</f>
        <v>EAST</v>
      </c>
      <c r="M365" s="8">
        <f t="shared" si="5"/>
        <v>19</v>
      </c>
      <c r="N365" s="4">
        <f>tbl_SaaS_Audit[[#This Row],[Tenure_Months]]*tbl_SaaS_Audit[[#This Row],[Monthly_Revenue]]</f>
        <v>250905.07</v>
      </c>
      <c r="O365" s="3" t="str" cm="1">
        <f t="array" ref="O36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65" s="4" cm="1">
        <f t="array" ref="P365">_xlfn.IFS(tbl_SaaS_Audit[[#This Row],[Risk_Level]]="CRITICAL RISK",tbl_SaaS_Audit[[#This Row],[Monthly_Revenue]]*12,TRUE,0)</f>
        <v>0</v>
      </c>
    </row>
    <row r="366" spans="1:16">
      <c r="A366" s="1">
        <v>365</v>
      </c>
      <c r="B366" s="1" t="s">
        <v>160</v>
      </c>
      <c r="C366" s="1" t="s">
        <v>11</v>
      </c>
      <c r="D366" s="2">
        <v>45811</v>
      </c>
      <c r="E366" s="1" t="s">
        <v>32</v>
      </c>
      <c r="F366" s="4">
        <v>7755.62</v>
      </c>
      <c r="G366" s="1" t="s">
        <v>33</v>
      </c>
      <c r="H366" s="1"/>
      <c r="I366" s="1">
        <v>9</v>
      </c>
      <c r="J366" s="1" t="s">
        <v>47</v>
      </c>
      <c r="K366" s="1" t="str">
        <f>_xlfn.TEXTBEFORE(tbl_SaaS_Audit[[#This Row],[region]],"-")</f>
        <v>NA</v>
      </c>
      <c r="L366" s="8" t="str">
        <f>_xlfn.TEXTAFTER(tbl_SaaS_Audit[[#This Row],[region]],"-")</f>
        <v>WEST</v>
      </c>
      <c r="M366" s="8">
        <f t="shared" si="5"/>
        <v>15</v>
      </c>
      <c r="N366" s="4">
        <f>tbl_SaaS_Audit[[#This Row],[Tenure_Months]]*tbl_SaaS_Audit[[#This Row],[Monthly_Revenue]]</f>
        <v>116334.3</v>
      </c>
      <c r="O366" s="3" t="str" cm="1">
        <f t="array" ref="O36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66" s="4" cm="1">
        <f t="array" ref="P366">_xlfn.IFS(tbl_SaaS_Audit[[#This Row],[Risk_Level]]="CRITICAL RISK",tbl_SaaS_Audit[[#This Row],[Monthly_Revenue]]*12,TRUE,0)</f>
        <v>0</v>
      </c>
    </row>
    <row r="367" spans="1:16">
      <c r="A367" s="1">
        <v>366</v>
      </c>
      <c r="B367" s="1" t="s">
        <v>273</v>
      </c>
      <c r="C367" s="1" t="s">
        <v>15</v>
      </c>
      <c r="D367" s="2">
        <v>45575</v>
      </c>
      <c r="E367" s="1" t="s">
        <v>41</v>
      </c>
      <c r="F367" s="4">
        <v>4320.8500000000004</v>
      </c>
      <c r="G367" s="1" t="s">
        <v>36</v>
      </c>
      <c r="H367" s="1"/>
      <c r="I367" s="1">
        <v>1</v>
      </c>
      <c r="J367" s="1" t="s">
        <v>45</v>
      </c>
      <c r="K367" s="1" t="str">
        <f>_xlfn.TEXTBEFORE(tbl_SaaS_Audit[[#This Row],[region]],"-")</f>
        <v>EU</v>
      </c>
      <c r="L367" s="8" t="str">
        <f>_xlfn.TEXTAFTER(tbl_SaaS_Audit[[#This Row],[region]],"-")</f>
        <v>CENTRAL</v>
      </c>
      <c r="M367" s="8">
        <f t="shared" si="5"/>
        <v>23</v>
      </c>
      <c r="N367" s="4">
        <f>tbl_SaaS_Audit[[#This Row],[Tenure_Months]]*tbl_SaaS_Audit[[#This Row],[Monthly_Revenue]]</f>
        <v>99379.55</v>
      </c>
      <c r="O367" s="3" t="str" cm="1">
        <f t="array" ref="O36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67" s="4" cm="1">
        <f t="array" ref="P367">_xlfn.IFS(tbl_SaaS_Audit[[#This Row],[Risk_Level]]="CRITICAL RISK",tbl_SaaS_Audit[[#This Row],[Monthly_Revenue]]*12,TRUE,0)</f>
        <v>0</v>
      </c>
    </row>
    <row r="368" spans="1:16">
      <c r="A368" s="1">
        <v>367</v>
      </c>
      <c r="B368" s="1" t="s">
        <v>44</v>
      </c>
      <c r="C368" s="1" t="s">
        <v>12</v>
      </c>
      <c r="D368" s="2">
        <v>45531</v>
      </c>
      <c r="E368" s="1" t="s">
        <v>39</v>
      </c>
      <c r="F368" s="4">
        <v>3727.14</v>
      </c>
      <c r="G368" s="1" t="s">
        <v>49</v>
      </c>
      <c r="H368" s="2">
        <v>46226</v>
      </c>
      <c r="I368" s="1">
        <v>6</v>
      </c>
      <c r="J368" s="1" t="s">
        <v>47</v>
      </c>
      <c r="K368" s="1" t="str">
        <f>_xlfn.TEXTBEFORE(tbl_SaaS_Audit[[#This Row],[region]],"-")</f>
        <v>NA</v>
      </c>
      <c r="L368" s="8" t="str">
        <f>_xlfn.TEXTAFTER(tbl_SaaS_Audit[[#This Row],[region]],"-")</f>
        <v>WEST</v>
      </c>
      <c r="M368" s="8">
        <f t="shared" si="5"/>
        <v>25</v>
      </c>
      <c r="N368" s="4">
        <f>tbl_SaaS_Audit[[#This Row],[Tenure_Months]]*tbl_SaaS_Audit[[#This Row],[Monthly_Revenue]]</f>
        <v>93178.5</v>
      </c>
      <c r="O368" s="3" t="str" cm="1">
        <f t="array" ref="O36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68" s="4" cm="1">
        <f t="array" ref="P368">_xlfn.IFS(tbl_SaaS_Audit[[#This Row],[Risk_Level]]="CRITICAL RISK",tbl_SaaS_Audit[[#This Row],[Monthly_Revenue]]*12,TRUE,0)</f>
        <v>0</v>
      </c>
    </row>
    <row r="369" spans="1:16">
      <c r="A369" s="1">
        <v>368</v>
      </c>
      <c r="B369" s="1" t="s">
        <v>78</v>
      </c>
      <c r="C369" s="1" t="s">
        <v>14</v>
      </c>
      <c r="D369" s="2">
        <v>45501</v>
      </c>
      <c r="E369" s="1" t="s">
        <v>41</v>
      </c>
      <c r="F369" s="4">
        <v>11468.46</v>
      </c>
      <c r="G369" s="1" t="s">
        <v>42</v>
      </c>
      <c r="H369" s="1"/>
      <c r="I369" s="1">
        <v>12</v>
      </c>
      <c r="J369" s="1" t="s">
        <v>47</v>
      </c>
      <c r="K369" s="1" t="str">
        <f>_xlfn.TEXTBEFORE(tbl_SaaS_Audit[[#This Row],[region]],"-")</f>
        <v>NA</v>
      </c>
      <c r="L369" s="8" t="str">
        <f>_xlfn.TEXTAFTER(tbl_SaaS_Audit[[#This Row],[region]],"-")</f>
        <v>WEST</v>
      </c>
      <c r="M369" s="8">
        <f t="shared" si="5"/>
        <v>26</v>
      </c>
      <c r="N369" s="4">
        <f>tbl_SaaS_Audit[[#This Row],[Tenure_Months]]*tbl_SaaS_Audit[[#This Row],[Monthly_Revenue]]</f>
        <v>298179.95999999996</v>
      </c>
      <c r="O369" s="3" t="str" cm="1">
        <f t="array" ref="O36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69" s="4" cm="1">
        <f t="array" ref="P369">_xlfn.IFS(tbl_SaaS_Audit[[#This Row],[Risk_Level]]="CRITICAL RISK",tbl_SaaS_Audit[[#This Row],[Monthly_Revenue]]*12,TRUE,0)</f>
        <v>137621.51999999999</v>
      </c>
    </row>
    <row r="370" spans="1:16">
      <c r="A370" s="1">
        <v>369</v>
      </c>
      <c r="B370" s="1" t="s">
        <v>274</v>
      </c>
      <c r="C370" s="1" t="s">
        <v>14</v>
      </c>
      <c r="D370" s="2">
        <v>45528</v>
      </c>
      <c r="E370" s="1" t="s">
        <v>39</v>
      </c>
      <c r="F370" s="4">
        <v>5041.55</v>
      </c>
      <c r="G370" s="1" t="s">
        <v>42</v>
      </c>
      <c r="H370" s="2">
        <v>46064</v>
      </c>
      <c r="I370" s="1">
        <v>9</v>
      </c>
      <c r="J370" s="1" t="s">
        <v>45</v>
      </c>
      <c r="K370" s="1" t="str">
        <f>_xlfn.TEXTBEFORE(tbl_SaaS_Audit[[#This Row],[region]],"-")</f>
        <v>EU</v>
      </c>
      <c r="L370" s="8" t="str">
        <f>_xlfn.TEXTAFTER(tbl_SaaS_Audit[[#This Row],[region]],"-")</f>
        <v>CENTRAL</v>
      </c>
      <c r="M370" s="8">
        <f t="shared" si="5"/>
        <v>25</v>
      </c>
      <c r="N370" s="4">
        <f>tbl_SaaS_Audit[[#This Row],[Tenure_Months]]*tbl_SaaS_Audit[[#This Row],[Monthly_Revenue]]</f>
        <v>126038.75</v>
      </c>
      <c r="O370" s="3" t="str" cm="1">
        <f t="array" ref="O37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70" s="4" cm="1">
        <f t="array" ref="P370">_xlfn.IFS(tbl_SaaS_Audit[[#This Row],[Risk_Level]]="CRITICAL RISK",tbl_SaaS_Audit[[#This Row],[Monthly_Revenue]]*12,TRUE,0)</f>
        <v>0</v>
      </c>
    </row>
    <row r="371" spans="1:16">
      <c r="A371" s="1">
        <v>370</v>
      </c>
      <c r="B371" s="1" t="s">
        <v>275</v>
      </c>
      <c r="C371" s="1" t="s">
        <v>14</v>
      </c>
      <c r="D371" s="2">
        <v>45581</v>
      </c>
      <c r="E371" s="1" t="s">
        <v>41</v>
      </c>
      <c r="F371" s="4">
        <v>3472.91</v>
      </c>
      <c r="G371" s="1" t="s">
        <v>49</v>
      </c>
      <c r="H371" s="2">
        <v>46159</v>
      </c>
      <c r="I371" s="1">
        <v>17</v>
      </c>
      <c r="J371" s="1" t="s">
        <v>51</v>
      </c>
      <c r="K371" s="1" t="str">
        <f>_xlfn.TEXTBEFORE(tbl_SaaS_Audit[[#This Row],[region]],"-")</f>
        <v>NA</v>
      </c>
      <c r="L371" s="8" t="str">
        <f>_xlfn.TEXTAFTER(tbl_SaaS_Audit[[#This Row],[region]],"-")</f>
        <v>EAST</v>
      </c>
      <c r="M371" s="8">
        <f t="shared" si="5"/>
        <v>23</v>
      </c>
      <c r="N371" s="4">
        <f>tbl_SaaS_Audit[[#This Row],[Tenure_Months]]*tbl_SaaS_Audit[[#This Row],[Monthly_Revenue]]</f>
        <v>79876.929999999993</v>
      </c>
      <c r="O371" s="3" t="str" cm="1">
        <f t="array" ref="O37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71" s="4" cm="1">
        <f t="array" ref="P371">_xlfn.IFS(tbl_SaaS_Audit[[#This Row],[Risk_Level]]="CRITICAL RISK",tbl_SaaS_Audit[[#This Row],[Monthly_Revenue]]*12,TRUE,0)</f>
        <v>0</v>
      </c>
    </row>
    <row r="372" spans="1:16">
      <c r="A372" s="1">
        <v>371</v>
      </c>
      <c r="B372" s="1" t="s">
        <v>276</v>
      </c>
      <c r="C372" s="1" t="s">
        <v>13</v>
      </c>
      <c r="D372" s="2">
        <v>45390</v>
      </c>
      <c r="E372" s="1" t="s">
        <v>41</v>
      </c>
      <c r="F372" s="4">
        <v>7918.69</v>
      </c>
      <c r="G372" s="1" t="s">
        <v>36</v>
      </c>
      <c r="H372" s="2">
        <v>46260</v>
      </c>
      <c r="I372" s="1">
        <v>17</v>
      </c>
      <c r="J372" s="1" t="s">
        <v>45</v>
      </c>
      <c r="K372" s="1" t="str">
        <f>_xlfn.TEXTBEFORE(tbl_SaaS_Audit[[#This Row],[region]],"-")</f>
        <v>EU</v>
      </c>
      <c r="L372" s="8" t="str">
        <f>_xlfn.TEXTAFTER(tbl_SaaS_Audit[[#This Row],[region]],"-")</f>
        <v>CENTRAL</v>
      </c>
      <c r="M372" s="8">
        <f t="shared" si="5"/>
        <v>29</v>
      </c>
      <c r="N372" s="4">
        <f>tbl_SaaS_Audit[[#This Row],[Tenure_Months]]*tbl_SaaS_Audit[[#This Row],[Monthly_Revenue]]</f>
        <v>229642.00999999998</v>
      </c>
      <c r="O372" s="3" t="str" cm="1">
        <f t="array" ref="O37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72" s="4" cm="1">
        <f t="array" ref="P372">_xlfn.IFS(tbl_SaaS_Audit[[#This Row],[Risk_Level]]="CRITICAL RISK",tbl_SaaS_Audit[[#This Row],[Monthly_Revenue]]*12,TRUE,0)</f>
        <v>0</v>
      </c>
    </row>
    <row r="373" spans="1:16">
      <c r="A373" s="1">
        <v>372</v>
      </c>
      <c r="B373" s="1" t="s">
        <v>277</v>
      </c>
      <c r="C373" s="1" t="s">
        <v>12</v>
      </c>
      <c r="D373" s="2">
        <v>45777</v>
      </c>
      <c r="E373" s="1" t="s">
        <v>39</v>
      </c>
      <c r="F373" s="4">
        <v>3487.01</v>
      </c>
      <c r="G373" s="1" t="s">
        <v>42</v>
      </c>
      <c r="H373" s="2">
        <v>45856</v>
      </c>
      <c r="I373" s="1">
        <v>3</v>
      </c>
      <c r="J373" s="1" t="s">
        <v>47</v>
      </c>
      <c r="K373" s="1" t="str">
        <f>_xlfn.TEXTBEFORE(tbl_SaaS_Audit[[#This Row],[region]],"-")</f>
        <v>NA</v>
      </c>
      <c r="L373" s="8" t="str">
        <f>_xlfn.TEXTAFTER(tbl_SaaS_Audit[[#This Row],[region]],"-")</f>
        <v>WEST</v>
      </c>
      <c r="M373" s="8">
        <f t="shared" si="5"/>
        <v>17</v>
      </c>
      <c r="N373" s="4">
        <f>tbl_SaaS_Audit[[#This Row],[Tenure_Months]]*tbl_SaaS_Audit[[#This Row],[Monthly_Revenue]]</f>
        <v>59279.170000000006</v>
      </c>
      <c r="O373" s="3" t="str" cm="1">
        <f t="array" ref="O37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73" s="4" cm="1">
        <f t="array" ref="P373">_xlfn.IFS(tbl_SaaS_Audit[[#This Row],[Risk_Level]]="CRITICAL RISK",tbl_SaaS_Audit[[#This Row],[Monthly_Revenue]]*12,TRUE,0)</f>
        <v>0</v>
      </c>
    </row>
    <row r="374" spans="1:16">
      <c r="A374" s="1">
        <v>373</v>
      </c>
      <c r="B374" s="1" t="s">
        <v>208</v>
      </c>
      <c r="C374" s="1" t="s">
        <v>13</v>
      </c>
      <c r="D374" s="2">
        <v>45708</v>
      </c>
      <c r="E374" s="1" t="s">
        <v>32</v>
      </c>
      <c r="F374" s="4">
        <v>4936.46</v>
      </c>
      <c r="G374" s="1" t="s">
        <v>49</v>
      </c>
      <c r="H374" s="2">
        <v>45972</v>
      </c>
      <c r="I374" s="1">
        <v>2</v>
      </c>
      <c r="J374" s="1" t="s">
        <v>34</v>
      </c>
      <c r="K374" s="1" t="str">
        <f>_xlfn.TEXTBEFORE(tbl_SaaS_Audit[[#This Row],[region]],"-")</f>
        <v>APAC</v>
      </c>
      <c r="L374" s="8" t="str">
        <f>_xlfn.TEXTAFTER(tbl_SaaS_Audit[[#This Row],[region]],"-")</f>
        <v>SGP</v>
      </c>
      <c r="M374" s="8">
        <f t="shared" si="5"/>
        <v>19</v>
      </c>
      <c r="N374" s="4">
        <f>tbl_SaaS_Audit[[#This Row],[Tenure_Months]]*tbl_SaaS_Audit[[#This Row],[Monthly_Revenue]]</f>
        <v>93792.74</v>
      </c>
      <c r="O374" s="3" t="str" cm="1">
        <f t="array" ref="O37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74" s="4" cm="1">
        <f t="array" ref="P374">_xlfn.IFS(tbl_SaaS_Audit[[#This Row],[Risk_Level]]="CRITICAL RISK",tbl_SaaS_Audit[[#This Row],[Monthly_Revenue]]*12,TRUE,0)</f>
        <v>0</v>
      </c>
    </row>
    <row r="375" spans="1:16">
      <c r="A375" s="1">
        <v>374</v>
      </c>
      <c r="B375" s="1" t="s">
        <v>160</v>
      </c>
      <c r="C375" s="1" t="s">
        <v>12</v>
      </c>
      <c r="D375" s="2">
        <v>45773</v>
      </c>
      <c r="E375" s="1" t="s">
        <v>39</v>
      </c>
      <c r="F375" s="4">
        <v>5881.3</v>
      </c>
      <c r="G375" s="1" t="s">
        <v>42</v>
      </c>
      <c r="H375" s="2">
        <v>46180</v>
      </c>
      <c r="I375" s="1">
        <v>8</v>
      </c>
      <c r="J375" s="1" t="s">
        <v>45</v>
      </c>
      <c r="K375" s="1" t="str">
        <f>_xlfn.TEXTBEFORE(tbl_SaaS_Audit[[#This Row],[region]],"-")</f>
        <v>EU</v>
      </c>
      <c r="L375" s="8" t="str">
        <f>_xlfn.TEXTAFTER(tbl_SaaS_Audit[[#This Row],[region]],"-")</f>
        <v>CENTRAL</v>
      </c>
      <c r="M375" s="8">
        <f t="shared" si="5"/>
        <v>17</v>
      </c>
      <c r="N375" s="4">
        <f>tbl_SaaS_Audit[[#This Row],[Tenure_Months]]*tbl_SaaS_Audit[[#This Row],[Monthly_Revenue]]</f>
        <v>99982.1</v>
      </c>
      <c r="O375" s="3" t="str" cm="1">
        <f t="array" ref="O37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75" s="4" cm="1">
        <f t="array" ref="P375">_xlfn.IFS(tbl_SaaS_Audit[[#This Row],[Risk_Level]]="CRITICAL RISK",tbl_SaaS_Audit[[#This Row],[Monthly_Revenue]]*12,TRUE,0)</f>
        <v>0</v>
      </c>
    </row>
    <row r="376" spans="1:16">
      <c r="A376" s="1">
        <v>375</v>
      </c>
      <c r="B376" s="1" t="s">
        <v>219</v>
      </c>
      <c r="C376" s="1" t="s">
        <v>12</v>
      </c>
      <c r="D376" s="2">
        <v>45450</v>
      </c>
      <c r="E376" s="1" t="s">
        <v>39</v>
      </c>
      <c r="F376" s="4">
        <v>13417.69</v>
      </c>
      <c r="G376" s="1" t="s">
        <v>49</v>
      </c>
      <c r="H376" s="2">
        <v>45892</v>
      </c>
      <c r="I376" s="1">
        <v>8</v>
      </c>
      <c r="J376" s="1" t="s">
        <v>34</v>
      </c>
      <c r="K376" s="1" t="str">
        <f>_xlfn.TEXTBEFORE(tbl_SaaS_Audit[[#This Row],[region]],"-")</f>
        <v>APAC</v>
      </c>
      <c r="L376" s="8" t="str">
        <f>_xlfn.TEXTAFTER(tbl_SaaS_Audit[[#This Row],[region]],"-")</f>
        <v>SGP</v>
      </c>
      <c r="M376" s="8">
        <f t="shared" si="5"/>
        <v>27</v>
      </c>
      <c r="N376" s="4">
        <f>tbl_SaaS_Audit[[#This Row],[Tenure_Months]]*tbl_SaaS_Audit[[#This Row],[Monthly_Revenue]]</f>
        <v>362277.63</v>
      </c>
      <c r="O376" s="3" t="str" cm="1">
        <f t="array" ref="O37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76" s="4" cm="1">
        <f t="array" ref="P376">_xlfn.IFS(tbl_SaaS_Audit[[#This Row],[Risk_Level]]="CRITICAL RISK",tbl_SaaS_Audit[[#This Row],[Monthly_Revenue]]*12,TRUE,0)</f>
        <v>0</v>
      </c>
    </row>
    <row r="377" spans="1:16">
      <c r="A377" s="1">
        <v>376</v>
      </c>
      <c r="B377" s="1" t="s">
        <v>266</v>
      </c>
      <c r="C377" s="1" t="s">
        <v>14</v>
      </c>
      <c r="D377" s="2">
        <v>45734</v>
      </c>
      <c r="E377" s="1" t="s">
        <v>41</v>
      </c>
      <c r="F377" s="4">
        <v>12713.44</v>
      </c>
      <c r="G377" s="1" t="s">
        <v>33</v>
      </c>
      <c r="H377" s="2">
        <v>45895</v>
      </c>
      <c r="I377" s="1">
        <v>16</v>
      </c>
      <c r="J377" s="1" t="s">
        <v>34</v>
      </c>
      <c r="K377" s="1" t="str">
        <f>_xlfn.TEXTBEFORE(tbl_SaaS_Audit[[#This Row],[region]],"-")</f>
        <v>APAC</v>
      </c>
      <c r="L377" s="8" t="str">
        <f>_xlfn.TEXTAFTER(tbl_SaaS_Audit[[#This Row],[region]],"-")</f>
        <v>SGP</v>
      </c>
      <c r="M377" s="8">
        <f t="shared" si="5"/>
        <v>5</v>
      </c>
      <c r="N377" s="4">
        <f>tbl_SaaS_Audit[[#This Row],[Tenure_Months]]*tbl_SaaS_Audit[[#This Row],[Monthly_Revenue]]</f>
        <v>63567.200000000004</v>
      </c>
      <c r="O377" s="3" t="str" cm="1">
        <f t="array" ref="O37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77" s="4" cm="1">
        <f t="array" ref="P377">_xlfn.IFS(tbl_SaaS_Audit[[#This Row],[Risk_Level]]="CRITICAL RISK",tbl_SaaS_Audit[[#This Row],[Monthly_Revenue]]*12,TRUE,0)</f>
        <v>0</v>
      </c>
    </row>
    <row r="378" spans="1:16">
      <c r="A378" s="1">
        <v>377</v>
      </c>
      <c r="B378" s="1" t="s">
        <v>78</v>
      </c>
      <c r="C378" s="1" t="s">
        <v>12</v>
      </c>
      <c r="D378" s="2">
        <v>45618</v>
      </c>
      <c r="E378" s="1" t="s">
        <v>39</v>
      </c>
      <c r="F378" s="4">
        <v>11827.02</v>
      </c>
      <c r="G378" s="1" t="s">
        <v>33</v>
      </c>
      <c r="H378" s="1"/>
      <c r="I378" s="1">
        <v>13</v>
      </c>
      <c r="J378" s="1" t="s">
        <v>34</v>
      </c>
      <c r="K378" s="1" t="str">
        <f>_xlfn.TEXTBEFORE(tbl_SaaS_Audit[[#This Row],[region]],"-")</f>
        <v>APAC</v>
      </c>
      <c r="L378" s="8" t="str">
        <f>_xlfn.TEXTAFTER(tbl_SaaS_Audit[[#This Row],[region]],"-")</f>
        <v>SGP</v>
      </c>
      <c r="M378" s="8">
        <f t="shared" si="5"/>
        <v>22</v>
      </c>
      <c r="N378" s="4">
        <f>tbl_SaaS_Audit[[#This Row],[Tenure_Months]]*tbl_SaaS_Audit[[#This Row],[Monthly_Revenue]]</f>
        <v>260194.44</v>
      </c>
      <c r="O378" s="3" t="str" cm="1">
        <f t="array" ref="O37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78" s="4" cm="1">
        <f t="array" ref="P378">_xlfn.IFS(tbl_SaaS_Audit[[#This Row],[Risk_Level]]="CRITICAL RISK",tbl_SaaS_Audit[[#This Row],[Monthly_Revenue]]*12,TRUE,0)</f>
        <v>0</v>
      </c>
    </row>
    <row r="379" spans="1:16">
      <c r="A379" s="1">
        <v>378</v>
      </c>
      <c r="B379" s="1" t="s">
        <v>278</v>
      </c>
      <c r="C379" s="1" t="s">
        <v>14</v>
      </c>
      <c r="D379" s="2">
        <v>45571</v>
      </c>
      <c r="E379" s="1" t="s">
        <v>32</v>
      </c>
      <c r="F379" s="4">
        <v>10609.36</v>
      </c>
      <c r="G379" s="1" t="s">
        <v>42</v>
      </c>
      <c r="H379" s="2">
        <v>45911</v>
      </c>
      <c r="I379" s="1">
        <v>9</v>
      </c>
      <c r="J379" s="1" t="s">
        <v>51</v>
      </c>
      <c r="K379" s="1" t="str">
        <f>_xlfn.TEXTBEFORE(tbl_SaaS_Audit[[#This Row],[region]],"-")</f>
        <v>NA</v>
      </c>
      <c r="L379" s="8" t="str">
        <f>_xlfn.TEXTAFTER(tbl_SaaS_Audit[[#This Row],[region]],"-")</f>
        <v>EAST</v>
      </c>
      <c r="M379" s="8">
        <f t="shared" si="5"/>
        <v>23</v>
      </c>
      <c r="N379" s="4">
        <f>tbl_SaaS_Audit[[#This Row],[Tenure_Months]]*tbl_SaaS_Audit[[#This Row],[Monthly_Revenue]]</f>
        <v>244015.28000000003</v>
      </c>
      <c r="O379" s="3" t="str" cm="1">
        <f t="array" ref="O37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79" s="4" cm="1">
        <f t="array" ref="P379">_xlfn.IFS(tbl_SaaS_Audit[[#This Row],[Risk_Level]]="CRITICAL RISK",tbl_SaaS_Audit[[#This Row],[Monthly_Revenue]]*12,TRUE,0)</f>
        <v>0</v>
      </c>
    </row>
    <row r="380" spans="1:16">
      <c r="A380" s="1">
        <v>379</v>
      </c>
      <c r="B380" s="1" t="s">
        <v>61</v>
      </c>
      <c r="C380" s="1" t="s">
        <v>14</v>
      </c>
      <c r="D380" s="2">
        <v>45482</v>
      </c>
      <c r="E380" s="1" t="s">
        <v>32</v>
      </c>
      <c r="F380" s="4">
        <v>8383.48</v>
      </c>
      <c r="G380" s="1" t="s">
        <v>49</v>
      </c>
      <c r="H380" s="2">
        <v>45865</v>
      </c>
      <c r="I380" s="1">
        <v>1</v>
      </c>
      <c r="J380" s="1" t="s">
        <v>37</v>
      </c>
      <c r="K380" s="1" t="str">
        <f>_xlfn.TEXTBEFORE(tbl_SaaS_Audit[[#This Row],[region]],"-")</f>
        <v>MEA</v>
      </c>
      <c r="L380" s="8" t="str">
        <f>_xlfn.TEXTAFTER(tbl_SaaS_Audit[[#This Row],[region]],"-")</f>
        <v>EGY</v>
      </c>
      <c r="M380" s="8">
        <f t="shared" si="5"/>
        <v>26</v>
      </c>
      <c r="N380" s="4">
        <f>tbl_SaaS_Audit[[#This Row],[Tenure_Months]]*tbl_SaaS_Audit[[#This Row],[Monthly_Revenue]]</f>
        <v>217970.47999999998</v>
      </c>
      <c r="O380" s="3" t="str" cm="1">
        <f t="array" ref="O38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0" s="4" cm="1">
        <f t="array" ref="P380">_xlfn.IFS(tbl_SaaS_Audit[[#This Row],[Risk_Level]]="CRITICAL RISK",tbl_SaaS_Audit[[#This Row],[Monthly_Revenue]]*12,TRUE,0)</f>
        <v>0</v>
      </c>
    </row>
    <row r="381" spans="1:16">
      <c r="A381" s="1">
        <v>380</v>
      </c>
      <c r="B381" s="1" t="s">
        <v>69</v>
      </c>
      <c r="C381" s="1" t="s">
        <v>13</v>
      </c>
      <c r="D381" s="2">
        <v>45572</v>
      </c>
      <c r="E381" s="1" t="s">
        <v>39</v>
      </c>
      <c r="F381" s="4">
        <v>7915.54</v>
      </c>
      <c r="G381" s="1" t="s">
        <v>33</v>
      </c>
      <c r="H381" s="1"/>
      <c r="I381" s="1">
        <v>3</v>
      </c>
      <c r="J381" s="1" t="s">
        <v>37</v>
      </c>
      <c r="K381" s="1" t="str">
        <f>_xlfn.TEXTBEFORE(tbl_SaaS_Audit[[#This Row],[region]],"-")</f>
        <v>MEA</v>
      </c>
      <c r="L381" s="8" t="str">
        <f>_xlfn.TEXTAFTER(tbl_SaaS_Audit[[#This Row],[region]],"-")</f>
        <v>EGY</v>
      </c>
      <c r="M381" s="8">
        <f t="shared" si="5"/>
        <v>23</v>
      </c>
      <c r="N381" s="4">
        <f>tbl_SaaS_Audit[[#This Row],[Tenure_Months]]*tbl_SaaS_Audit[[#This Row],[Monthly_Revenue]]</f>
        <v>182057.42</v>
      </c>
      <c r="O381" s="3" t="str" cm="1">
        <f t="array" ref="O38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81" s="4" cm="1">
        <f t="array" ref="P381">_xlfn.IFS(tbl_SaaS_Audit[[#This Row],[Risk_Level]]="CRITICAL RISK",tbl_SaaS_Audit[[#This Row],[Monthly_Revenue]]*12,TRUE,0)</f>
        <v>0</v>
      </c>
    </row>
    <row r="382" spans="1:16">
      <c r="A382" s="1">
        <v>381</v>
      </c>
      <c r="B382" s="1" t="s">
        <v>163</v>
      </c>
      <c r="C382" s="1" t="s">
        <v>12</v>
      </c>
      <c r="D382" s="2">
        <v>45363</v>
      </c>
      <c r="E382" s="1" t="s">
        <v>32</v>
      </c>
      <c r="F382" s="4">
        <v>6511.61</v>
      </c>
      <c r="G382" s="1" t="s">
        <v>33</v>
      </c>
      <c r="H382" s="2">
        <v>45845</v>
      </c>
      <c r="I382" s="1">
        <v>9</v>
      </c>
      <c r="J382" s="1" t="s">
        <v>45</v>
      </c>
      <c r="K382" s="1" t="str">
        <f>_xlfn.TEXTBEFORE(tbl_SaaS_Audit[[#This Row],[region]],"-")</f>
        <v>EU</v>
      </c>
      <c r="L382" s="8" t="str">
        <f>_xlfn.TEXTAFTER(tbl_SaaS_Audit[[#This Row],[region]],"-")</f>
        <v>CENTRAL</v>
      </c>
      <c r="M382" s="8">
        <f t="shared" si="5"/>
        <v>16</v>
      </c>
      <c r="N382" s="4">
        <f>tbl_SaaS_Audit[[#This Row],[Tenure_Months]]*tbl_SaaS_Audit[[#This Row],[Monthly_Revenue]]</f>
        <v>104185.76</v>
      </c>
      <c r="O382" s="3" t="str" cm="1">
        <f t="array" ref="O38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2" s="4" cm="1">
        <f t="array" ref="P382">_xlfn.IFS(tbl_SaaS_Audit[[#This Row],[Risk_Level]]="CRITICAL RISK",tbl_SaaS_Audit[[#This Row],[Monthly_Revenue]]*12,TRUE,0)</f>
        <v>0</v>
      </c>
    </row>
    <row r="383" spans="1:16">
      <c r="A383" s="1">
        <v>382</v>
      </c>
      <c r="B383" s="1" t="s">
        <v>228</v>
      </c>
      <c r="C383" s="1" t="s">
        <v>14</v>
      </c>
      <c r="D383" s="2">
        <v>45513</v>
      </c>
      <c r="E383" s="1" t="s">
        <v>39</v>
      </c>
      <c r="F383" s="4">
        <v>7648.17</v>
      </c>
      <c r="G383" s="1" t="s">
        <v>33</v>
      </c>
      <c r="H383" s="2">
        <v>46242</v>
      </c>
      <c r="I383" s="1">
        <v>7</v>
      </c>
      <c r="J383" s="1" t="s">
        <v>37</v>
      </c>
      <c r="K383" s="1" t="str">
        <f>_xlfn.TEXTBEFORE(tbl_SaaS_Audit[[#This Row],[region]],"-")</f>
        <v>MEA</v>
      </c>
      <c r="L383" s="8" t="str">
        <f>_xlfn.TEXTAFTER(tbl_SaaS_Audit[[#This Row],[region]],"-")</f>
        <v>EGY</v>
      </c>
      <c r="M383" s="8">
        <f t="shared" si="5"/>
        <v>24</v>
      </c>
      <c r="N383" s="4">
        <f>tbl_SaaS_Audit[[#This Row],[Tenure_Months]]*tbl_SaaS_Audit[[#This Row],[Monthly_Revenue]]</f>
        <v>183556.08000000002</v>
      </c>
      <c r="O383" s="3" t="str" cm="1">
        <f t="array" ref="O38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3" s="4" cm="1">
        <f t="array" ref="P383">_xlfn.IFS(tbl_SaaS_Audit[[#This Row],[Risk_Level]]="CRITICAL RISK",tbl_SaaS_Audit[[#This Row],[Monthly_Revenue]]*12,TRUE,0)</f>
        <v>0</v>
      </c>
    </row>
    <row r="384" spans="1:16">
      <c r="A384" s="1">
        <v>383</v>
      </c>
      <c r="B384" s="1" t="s">
        <v>88</v>
      </c>
      <c r="C384" s="1" t="s">
        <v>12</v>
      </c>
      <c r="D384" s="2">
        <v>45761</v>
      </c>
      <c r="E384" s="1" t="s">
        <v>39</v>
      </c>
      <c r="F384" s="4">
        <v>4504.2299999999996</v>
      </c>
      <c r="G384" s="1" t="s">
        <v>42</v>
      </c>
      <c r="H384" s="2">
        <v>45984</v>
      </c>
      <c r="I384" s="1">
        <v>4</v>
      </c>
      <c r="J384" s="1" t="s">
        <v>37</v>
      </c>
      <c r="K384" s="1" t="str">
        <f>_xlfn.TEXTBEFORE(tbl_SaaS_Audit[[#This Row],[region]],"-")</f>
        <v>MEA</v>
      </c>
      <c r="L384" s="8" t="str">
        <f>_xlfn.TEXTAFTER(tbl_SaaS_Audit[[#This Row],[region]],"-")</f>
        <v>EGY</v>
      </c>
      <c r="M384" s="8">
        <f t="shared" si="5"/>
        <v>17</v>
      </c>
      <c r="N384" s="4">
        <f>tbl_SaaS_Audit[[#This Row],[Tenure_Months]]*tbl_SaaS_Audit[[#This Row],[Monthly_Revenue]]</f>
        <v>76571.909999999989</v>
      </c>
      <c r="O384" s="3" t="str" cm="1">
        <f t="array" ref="O38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84" s="4" cm="1">
        <f t="array" ref="P384">_xlfn.IFS(tbl_SaaS_Audit[[#This Row],[Risk_Level]]="CRITICAL RISK",tbl_SaaS_Audit[[#This Row],[Monthly_Revenue]]*12,TRUE,0)</f>
        <v>0</v>
      </c>
    </row>
    <row r="385" spans="1:16">
      <c r="A385" s="1">
        <v>384</v>
      </c>
      <c r="B385" s="1" t="s">
        <v>133</v>
      </c>
      <c r="C385" s="1" t="s">
        <v>12</v>
      </c>
      <c r="D385" s="2">
        <v>45587</v>
      </c>
      <c r="E385" s="1" t="s">
        <v>39</v>
      </c>
      <c r="F385" s="4">
        <v>12788.92</v>
      </c>
      <c r="G385" s="1" t="s">
        <v>42</v>
      </c>
      <c r="H385" s="2">
        <v>45942</v>
      </c>
      <c r="I385" s="1">
        <v>5</v>
      </c>
      <c r="J385" s="1" t="s">
        <v>45</v>
      </c>
      <c r="K385" s="1" t="str">
        <f>_xlfn.TEXTBEFORE(tbl_SaaS_Audit[[#This Row],[region]],"-")</f>
        <v>EU</v>
      </c>
      <c r="L385" s="8" t="str">
        <f>_xlfn.TEXTAFTER(tbl_SaaS_Audit[[#This Row],[region]],"-")</f>
        <v>CENTRAL</v>
      </c>
      <c r="M385" s="8">
        <f t="shared" si="5"/>
        <v>23</v>
      </c>
      <c r="N385" s="4">
        <f>tbl_SaaS_Audit[[#This Row],[Tenure_Months]]*tbl_SaaS_Audit[[#This Row],[Monthly_Revenue]]</f>
        <v>294145.15999999997</v>
      </c>
      <c r="O385" s="3" t="str" cm="1">
        <f t="array" ref="O38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5" s="4" cm="1">
        <f t="array" ref="P385">_xlfn.IFS(tbl_SaaS_Audit[[#This Row],[Risk_Level]]="CRITICAL RISK",tbl_SaaS_Audit[[#This Row],[Monthly_Revenue]]*12,TRUE,0)</f>
        <v>0</v>
      </c>
    </row>
    <row r="386" spans="1:16">
      <c r="A386" s="1">
        <v>385</v>
      </c>
      <c r="B386" s="1" t="s">
        <v>204</v>
      </c>
      <c r="C386" s="1" t="s">
        <v>13</v>
      </c>
      <c r="D386" s="2">
        <v>45689</v>
      </c>
      <c r="E386" s="1" t="s">
        <v>39</v>
      </c>
      <c r="F386" s="4">
        <v>6359.61</v>
      </c>
      <c r="G386" s="1" t="s">
        <v>36</v>
      </c>
      <c r="H386" s="1"/>
      <c r="I386" s="1">
        <v>7</v>
      </c>
      <c r="J386" s="1" t="s">
        <v>51</v>
      </c>
      <c r="K386" s="1" t="str">
        <f>_xlfn.TEXTBEFORE(tbl_SaaS_Audit[[#This Row],[region]],"-")</f>
        <v>NA</v>
      </c>
      <c r="L386" s="8" t="str">
        <f>_xlfn.TEXTAFTER(tbl_SaaS_Audit[[#This Row],[region]],"-")</f>
        <v>EAST</v>
      </c>
      <c r="M386" s="8">
        <f t="shared" ref="M386:M449" si="6">MAX(0, IF(AND(G386="Churned", ISNUMBER(H386)), (YEAR(H386)-YEAR(D386))*12 + (MONTH(H386)-MONTH(D386)), (YEAR(DATE(2026,9,1))-YEAR(D386))*12 + (MONTH(DATE(2026,9,1))-MONTH(D386))))</f>
        <v>19</v>
      </c>
      <c r="N386" s="4">
        <f>tbl_SaaS_Audit[[#This Row],[Tenure_Months]]*tbl_SaaS_Audit[[#This Row],[Monthly_Revenue]]</f>
        <v>120832.59</v>
      </c>
      <c r="O386" s="3" t="str" cm="1">
        <f t="array" ref="O38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6" s="4" cm="1">
        <f t="array" ref="P386">_xlfn.IFS(tbl_SaaS_Audit[[#This Row],[Risk_Level]]="CRITICAL RISK",tbl_SaaS_Audit[[#This Row],[Monthly_Revenue]]*12,TRUE,0)</f>
        <v>0</v>
      </c>
    </row>
    <row r="387" spans="1:16">
      <c r="A387" s="1">
        <v>386</v>
      </c>
      <c r="B387" s="1" t="s">
        <v>192</v>
      </c>
      <c r="C387" s="1" t="s">
        <v>13</v>
      </c>
      <c r="D387" s="2">
        <v>45392</v>
      </c>
      <c r="E387" s="1" t="s">
        <v>41</v>
      </c>
      <c r="F387" s="4">
        <v>827.23</v>
      </c>
      <c r="G387" s="1" t="s">
        <v>36</v>
      </c>
      <c r="H387" s="1"/>
      <c r="I387" s="1">
        <v>6</v>
      </c>
      <c r="J387" s="1" t="s">
        <v>34</v>
      </c>
      <c r="K387" s="1" t="str">
        <f>_xlfn.TEXTBEFORE(tbl_SaaS_Audit[[#This Row],[region]],"-")</f>
        <v>APAC</v>
      </c>
      <c r="L387" s="8" t="str">
        <f>_xlfn.TEXTAFTER(tbl_SaaS_Audit[[#This Row],[region]],"-")</f>
        <v>SGP</v>
      </c>
      <c r="M387" s="8">
        <f t="shared" si="6"/>
        <v>29</v>
      </c>
      <c r="N387" s="4">
        <f>tbl_SaaS_Audit[[#This Row],[Tenure_Months]]*tbl_SaaS_Audit[[#This Row],[Monthly_Revenue]]</f>
        <v>23989.670000000002</v>
      </c>
      <c r="O387" s="3" t="str" cm="1">
        <f t="array" ref="O38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7" s="4" cm="1">
        <f t="array" ref="P387">_xlfn.IFS(tbl_SaaS_Audit[[#This Row],[Risk_Level]]="CRITICAL RISK",tbl_SaaS_Audit[[#This Row],[Monthly_Revenue]]*12,TRUE,0)</f>
        <v>0</v>
      </c>
    </row>
    <row r="388" spans="1:16">
      <c r="A388" s="1">
        <v>387</v>
      </c>
      <c r="B388" s="1" t="s">
        <v>249</v>
      </c>
      <c r="C388" s="1" t="s">
        <v>11</v>
      </c>
      <c r="D388" s="2">
        <v>45745</v>
      </c>
      <c r="E388" s="1" t="s">
        <v>39</v>
      </c>
      <c r="F388" s="4">
        <v>4202.83</v>
      </c>
      <c r="G388" s="1" t="s">
        <v>49</v>
      </c>
      <c r="H388" s="2">
        <v>46263</v>
      </c>
      <c r="I388" s="1">
        <v>1</v>
      </c>
      <c r="J388" s="1" t="s">
        <v>51</v>
      </c>
      <c r="K388" s="1" t="str">
        <f>_xlfn.TEXTBEFORE(tbl_SaaS_Audit[[#This Row],[region]],"-")</f>
        <v>NA</v>
      </c>
      <c r="L388" s="8" t="str">
        <f>_xlfn.TEXTAFTER(tbl_SaaS_Audit[[#This Row],[region]],"-")</f>
        <v>EAST</v>
      </c>
      <c r="M388" s="8">
        <f t="shared" si="6"/>
        <v>18</v>
      </c>
      <c r="N388" s="4">
        <f>tbl_SaaS_Audit[[#This Row],[Tenure_Months]]*tbl_SaaS_Audit[[#This Row],[Monthly_Revenue]]</f>
        <v>75650.94</v>
      </c>
      <c r="O388" s="3" t="str" cm="1">
        <f t="array" ref="O38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8" s="4" cm="1">
        <f t="array" ref="P388">_xlfn.IFS(tbl_SaaS_Audit[[#This Row],[Risk_Level]]="CRITICAL RISK",tbl_SaaS_Audit[[#This Row],[Monthly_Revenue]]*12,TRUE,0)</f>
        <v>0</v>
      </c>
    </row>
    <row r="389" spans="1:16">
      <c r="A389" s="1">
        <v>388</v>
      </c>
      <c r="B389" s="1" t="s">
        <v>162</v>
      </c>
      <c r="C389" s="1" t="s">
        <v>12</v>
      </c>
      <c r="D389" s="2">
        <v>45749</v>
      </c>
      <c r="E389" s="1" t="s">
        <v>39</v>
      </c>
      <c r="F389" s="4">
        <v>13618.19</v>
      </c>
      <c r="G389" s="1" t="s">
        <v>49</v>
      </c>
      <c r="H389" s="1"/>
      <c r="I389" s="1">
        <v>12</v>
      </c>
      <c r="J389" s="1" t="s">
        <v>37</v>
      </c>
      <c r="K389" s="1" t="str">
        <f>_xlfn.TEXTBEFORE(tbl_SaaS_Audit[[#This Row],[region]],"-")</f>
        <v>MEA</v>
      </c>
      <c r="L389" s="8" t="str">
        <f>_xlfn.TEXTAFTER(tbl_SaaS_Audit[[#This Row],[region]],"-")</f>
        <v>EGY</v>
      </c>
      <c r="M389" s="8">
        <f t="shared" si="6"/>
        <v>17</v>
      </c>
      <c r="N389" s="4">
        <f>tbl_SaaS_Audit[[#This Row],[Tenure_Months]]*tbl_SaaS_Audit[[#This Row],[Monthly_Revenue]]</f>
        <v>231509.23</v>
      </c>
      <c r="O389" s="3" t="str" cm="1">
        <f t="array" ref="O38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89" s="4" cm="1">
        <f t="array" ref="P389">_xlfn.IFS(tbl_SaaS_Audit[[#This Row],[Risk_Level]]="CRITICAL RISK",tbl_SaaS_Audit[[#This Row],[Monthly_Revenue]]*12,TRUE,0)</f>
        <v>0</v>
      </c>
    </row>
    <row r="390" spans="1:16">
      <c r="A390" s="1">
        <v>389</v>
      </c>
      <c r="B390" s="1" t="s">
        <v>118</v>
      </c>
      <c r="C390" s="1" t="s">
        <v>13</v>
      </c>
      <c r="D390" s="2">
        <v>45501</v>
      </c>
      <c r="E390" s="1" t="s">
        <v>39</v>
      </c>
      <c r="F390" s="4">
        <v>9467.67</v>
      </c>
      <c r="G390" s="1" t="s">
        <v>49</v>
      </c>
      <c r="H390" s="2">
        <v>46173</v>
      </c>
      <c r="I390" s="1">
        <v>14</v>
      </c>
      <c r="J390" s="1" t="s">
        <v>51</v>
      </c>
      <c r="K390" s="1" t="str">
        <f>_xlfn.TEXTBEFORE(tbl_SaaS_Audit[[#This Row],[region]],"-")</f>
        <v>NA</v>
      </c>
      <c r="L390" s="8" t="str">
        <f>_xlfn.TEXTAFTER(tbl_SaaS_Audit[[#This Row],[region]],"-")</f>
        <v>EAST</v>
      </c>
      <c r="M390" s="8">
        <f t="shared" si="6"/>
        <v>26</v>
      </c>
      <c r="N390" s="4">
        <f>tbl_SaaS_Audit[[#This Row],[Tenure_Months]]*tbl_SaaS_Audit[[#This Row],[Monthly_Revenue]]</f>
        <v>246159.42</v>
      </c>
      <c r="O390" s="3" t="str" cm="1">
        <f t="array" ref="O39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90" s="4" cm="1">
        <f t="array" ref="P390">_xlfn.IFS(tbl_SaaS_Audit[[#This Row],[Risk_Level]]="CRITICAL RISK",tbl_SaaS_Audit[[#This Row],[Monthly_Revenue]]*12,TRUE,0)</f>
        <v>0</v>
      </c>
    </row>
    <row r="391" spans="1:16">
      <c r="A391" s="1">
        <v>390</v>
      </c>
      <c r="B391" s="1" t="s">
        <v>270</v>
      </c>
      <c r="C391" s="1" t="s">
        <v>12</v>
      </c>
      <c r="D391" s="2">
        <v>45328</v>
      </c>
      <c r="E391" s="1" t="s">
        <v>41</v>
      </c>
      <c r="F391" s="4">
        <v>11876</v>
      </c>
      <c r="G391" s="1" t="s">
        <v>33</v>
      </c>
      <c r="H391" s="2">
        <v>45927</v>
      </c>
      <c r="I391" s="1">
        <v>14</v>
      </c>
      <c r="J391" s="1" t="s">
        <v>37</v>
      </c>
      <c r="K391" s="1" t="str">
        <f>_xlfn.TEXTBEFORE(tbl_SaaS_Audit[[#This Row],[region]],"-")</f>
        <v>MEA</v>
      </c>
      <c r="L391" s="8" t="str">
        <f>_xlfn.TEXTAFTER(tbl_SaaS_Audit[[#This Row],[region]],"-")</f>
        <v>EGY</v>
      </c>
      <c r="M391" s="8">
        <f t="shared" si="6"/>
        <v>19</v>
      </c>
      <c r="N391" s="4">
        <f>tbl_SaaS_Audit[[#This Row],[Tenure_Months]]*tbl_SaaS_Audit[[#This Row],[Monthly_Revenue]]</f>
        <v>225644</v>
      </c>
      <c r="O391" s="3" t="str" cm="1">
        <f t="array" ref="O39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91" s="4" cm="1">
        <f t="array" ref="P391">_xlfn.IFS(tbl_SaaS_Audit[[#This Row],[Risk_Level]]="CRITICAL RISK",tbl_SaaS_Audit[[#This Row],[Monthly_Revenue]]*12,TRUE,0)</f>
        <v>0</v>
      </c>
    </row>
    <row r="392" spans="1:16">
      <c r="A392" s="1">
        <v>391</v>
      </c>
      <c r="B392" s="1" t="s">
        <v>248</v>
      </c>
      <c r="C392" s="1" t="s">
        <v>13</v>
      </c>
      <c r="D392" s="2">
        <v>45810</v>
      </c>
      <c r="E392" s="1" t="s">
        <v>39</v>
      </c>
      <c r="F392" s="4">
        <v>14651.02</v>
      </c>
      <c r="G392" s="1" t="s">
        <v>33</v>
      </c>
      <c r="H392" s="2">
        <v>46220</v>
      </c>
      <c r="I392" s="1">
        <v>5</v>
      </c>
      <c r="J392" s="1" t="s">
        <v>37</v>
      </c>
      <c r="K392" s="1" t="str">
        <f>_xlfn.TEXTBEFORE(tbl_SaaS_Audit[[#This Row],[region]],"-")</f>
        <v>MEA</v>
      </c>
      <c r="L392" s="8" t="str">
        <f>_xlfn.TEXTAFTER(tbl_SaaS_Audit[[#This Row],[region]],"-")</f>
        <v>EGY</v>
      </c>
      <c r="M392" s="8">
        <f t="shared" si="6"/>
        <v>13</v>
      </c>
      <c r="N392" s="4">
        <f>tbl_SaaS_Audit[[#This Row],[Tenure_Months]]*tbl_SaaS_Audit[[#This Row],[Monthly_Revenue]]</f>
        <v>190463.26</v>
      </c>
      <c r="O392" s="3" t="str" cm="1">
        <f t="array" ref="O39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92" s="4" cm="1">
        <f t="array" ref="P392">_xlfn.IFS(tbl_SaaS_Audit[[#This Row],[Risk_Level]]="CRITICAL RISK",tbl_SaaS_Audit[[#This Row],[Monthly_Revenue]]*12,TRUE,0)</f>
        <v>0</v>
      </c>
    </row>
    <row r="393" spans="1:16">
      <c r="A393" s="1">
        <v>392</v>
      </c>
      <c r="B393" s="1" t="s">
        <v>279</v>
      </c>
      <c r="C393" s="1" t="s">
        <v>12</v>
      </c>
      <c r="D393" s="2">
        <v>45315</v>
      </c>
      <c r="E393" s="1" t="s">
        <v>32</v>
      </c>
      <c r="F393" s="4">
        <v>3438.02</v>
      </c>
      <c r="G393" s="1" t="s">
        <v>33</v>
      </c>
      <c r="H393" s="2">
        <v>46112</v>
      </c>
      <c r="I393" s="1">
        <v>10</v>
      </c>
      <c r="J393" s="1" t="s">
        <v>37</v>
      </c>
      <c r="K393" s="1" t="str">
        <f>_xlfn.TEXTBEFORE(tbl_SaaS_Audit[[#This Row],[region]],"-")</f>
        <v>MEA</v>
      </c>
      <c r="L393" s="8" t="str">
        <f>_xlfn.TEXTAFTER(tbl_SaaS_Audit[[#This Row],[region]],"-")</f>
        <v>EGY</v>
      </c>
      <c r="M393" s="8">
        <f t="shared" si="6"/>
        <v>26</v>
      </c>
      <c r="N393" s="4">
        <f>tbl_SaaS_Audit[[#This Row],[Tenure_Months]]*tbl_SaaS_Audit[[#This Row],[Monthly_Revenue]]</f>
        <v>89388.52</v>
      </c>
      <c r="O393" s="3" t="str" cm="1">
        <f t="array" ref="O39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93" s="4" cm="1">
        <f t="array" ref="P393">_xlfn.IFS(tbl_SaaS_Audit[[#This Row],[Risk_Level]]="CRITICAL RISK",tbl_SaaS_Audit[[#This Row],[Monthly_Revenue]]*12,TRUE,0)</f>
        <v>0</v>
      </c>
    </row>
    <row r="394" spans="1:16">
      <c r="A394" s="1">
        <v>393</v>
      </c>
      <c r="B394" s="1" t="s">
        <v>120</v>
      </c>
      <c r="C394" s="1" t="s">
        <v>12</v>
      </c>
      <c r="D394" s="2">
        <v>45530</v>
      </c>
      <c r="E394" s="1" t="s">
        <v>39</v>
      </c>
      <c r="F394" s="4">
        <v>5750.16</v>
      </c>
      <c r="G394" s="1" t="s">
        <v>49</v>
      </c>
      <c r="H394" s="2">
        <v>46001</v>
      </c>
      <c r="I394" s="1">
        <v>6</v>
      </c>
      <c r="J394" s="1" t="s">
        <v>37</v>
      </c>
      <c r="K394" s="1" t="str">
        <f>_xlfn.TEXTBEFORE(tbl_SaaS_Audit[[#This Row],[region]],"-")</f>
        <v>MEA</v>
      </c>
      <c r="L394" s="8" t="str">
        <f>_xlfn.TEXTAFTER(tbl_SaaS_Audit[[#This Row],[region]],"-")</f>
        <v>EGY</v>
      </c>
      <c r="M394" s="8">
        <f t="shared" si="6"/>
        <v>25</v>
      </c>
      <c r="N394" s="4">
        <f>tbl_SaaS_Audit[[#This Row],[Tenure_Months]]*tbl_SaaS_Audit[[#This Row],[Monthly_Revenue]]</f>
        <v>143754</v>
      </c>
      <c r="O394" s="3" t="str" cm="1">
        <f t="array" ref="O39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94" s="4" cm="1">
        <f t="array" ref="P394">_xlfn.IFS(tbl_SaaS_Audit[[#This Row],[Risk_Level]]="CRITICAL RISK",tbl_SaaS_Audit[[#This Row],[Monthly_Revenue]]*12,TRUE,0)</f>
        <v>0</v>
      </c>
    </row>
    <row r="395" spans="1:16">
      <c r="A395" s="1">
        <v>394</v>
      </c>
      <c r="B395" s="1" t="s">
        <v>137</v>
      </c>
      <c r="C395" s="1" t="s">
        <v>14</v>
      </c>
      <c r="D395" s="2">
        <v>45509</v>
      </c>
      <c r="E395" s="1" t="s">
        <v>41</v>
      </c>
      <c r="F395" s="4">
        <v>8876.9699999999993</v>
      </c>
      <c r="G395" s="1" t="s">
        <v>49</v>
      </c>
      <c r="H395" s="2">
        <v>46106</v>
      </c>
      <c r="I395" s="1">
        <v>8</v>
      </c>
      <c r="J395" s="1" t="s">
        <v>45</v>
      </c>
      <c r="K395" s="1" t="str">
        <f>_xlfn.TEXTBEFORE(tbl_SaaS_Audit[[#This Row],[region]],"-")</f>
        <v>EU</v>
      </c>
      <c r="L395" s="8" t="str">
        <f>_xlfn.TEXTAFTER(tbl_SaaS_Audit[[#This Row],[region]],"-")</f>
        <v>CENTRAL</v>
      </c>
      <c r="M395" s="8">
        <f t="shared" si="6"/>
        <v>25</v>
      </c>
      <c r="N395" s="4">
        <f>tbl_SaaS_Audit[[#This Row],[Tenure_Months]]*tbl_SaaS_Audit[[#This Row],[Monthly_Revenue]]</f>
        <v>221924.24999999997</v>
      </c>
      <c r="O395" s="3" t="str" cm="1">
        <f t="array" ref="O39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95" s="4" cm="1">
        <f t="array" ref="P395">_xlfn.IFS(tbl_SaaS_Audit[[#This Row],[Risk_Level]]="CRITICAL RISK",tbl_SaaS_Audit[[#This Row],[Monthly_Revenue]]*12,TRUE,0)</f>
        <v>0</v>
      </c>
    </row>
    <row r="396" spans="1:16">
      <c r="A396" s="1">
        <v>395</v>
      </c>
      <c r="B396" s="1" t="s">
        <v>280</v>
      </c>
      <c r="C396" s="1" t="s">
        <v>12</v>
      </c>
      <c r="D396" s="2">
        <v>45397</v>
      </c>
      <c r="E396" s="1" t="s">
        <v>32</v>
      </c>
      <c r="F396" s="4">
        <v>6525.93</v>
      </c>
      <c r="G396" s="1" t="s">
        <v>49</v>
      </c>
      <c r="H396" s="2">
        <v>46065</v>
      </c>
      <c r="I396" s="1">
        <v>4</v>
      </c>
      <c r="J396" s="1" t="s">
        <v>37</v>
      </c>
      <c r="K396" s="1" t="str">
        <f>_xlfn.TEXTBEFORE(tbl_SaaS_Audit[[#This Row],[region]],"-")</f>
        <v>MEA</v>
      </c>
      <c r="L396" s="8" t="str">
        <f>_xlfn.TEXTAFTER(tbl_SaaS_Audit[[#This Row],[region]],"-")</f>
        <v>EGY</v>
      </c>
      <c r="M396" s="8">
        <f t="shared" si="6"/>
        <v>29</v>
      </c>
      <c r="N396" s="4">
        <f>tbl_SaaS_Audit[[#This Row],[Tenure_Months]]*tbl_SaaS_Audit[[#This Row],[Monthly_Revenue]]</f>
        <v>189251.97</v>
      </c>
      <c r="O396" s="3" t="str" cm="1">
        <f t="array" ref="O39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396" s="4" cm="1">
        <f t="array" ref="P396">_xlfn.IFS(tbl_SaaS_Audit[[#This Row],[Risk_Level]]="CRITICAL RISK",tbl_SaaS_Audit[[#This Row],[Monthly_Revenue]]*12,TRUE,0)</f>
        <v>0</v>
      </c>
    </row>
    <row r="397" spans="1:16">
      <c r="A397" s="1">
        <v>396</v>
      </c>
      <c r="B397" s="1" t="s">
        <v>102</v>
      </c>
      <c r="C397" s="1" t="s">
        <v>11</v>
      </c>
      <c r="D397" s="2">
        <v>45701</v>
      </c>
      <c r="E397" s="1" t="s">
        <v>39</v>
      </c>
      <c r="F397" s="4">
        <v>11830.42</v>
      </c>
      <c r="G397" s="1" t="s">
        <v>36</v>
      </c>
      <c r="H397" s="2">
        <v>45911</v>
      </c>
      <c r="I397" s="1">
        <v>2</v>
      </c>
      <c r="J397" s="1" t="s">
        <v>47</v>
      </c>
      <c r="K397" s="1" t="str">
        <f>_xlfn.TEXTBEFORE(tbl_SaaS_Audit[[#This Row],[region]],"-")</f>
        <v>NA</v>
      </c>
      <c r="L397" s="8" t="str">
        <f>_xlfn.TEXTAFTER(tbl_SaaS_Audit[[#This Row],[region]],"-")</f>
        <v>WEST</v>
      </c>
      <c r="M397" s="8">
        <f t="shared" si="6"/>
        <v>19</v>
      </c>
      <c r="N397" s="4">
        <f>tbl_SaaS_Audit[[#This Row],[Tenure_Months]]*tbl_SaaS_Audit[[#This Row],[Monthly_Revenue]]</f>
        <v>224777.98</v>
      </c>
      <c r="O397" s="3" t="str" cm="1">
        <f t="array" ref="O39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97" s="4" cm="1">
        <f t="array" ref="P397">_xlfn.IFS(tbl_SaaS_Audit[[#This Row],[Risk_Level]]="CRITICAL RISK",tbl_SaaS_Audit[[#This Row],[Monthly_Revenue]]*12,TRUE,0)</f>
        <v>0</v>
      </c>
    </row>
    <row r="398" spans="1:16">
      <c r="A398" s="1">
        <v>397</v>
      </c>
      <c r="B398" s="1" t="s">
        <v>35</v>
      </c>
      <c r="C398" s="1" t="s">
        <v>13</v>
      </c>
      <c r="D398" s="2">
        <v>45782</v>
      </c>
      <c r="E398" s="1" t="s">
        <v>32</v>
      </c>
      <c r="F398" s="4">
        <v>512.66</v>
      </c>
      <c r="G398" s="1" t="s">
        <v>42</v>
      </c>
      <c r="H398" s="2">
        <v>45920</v>
      </c>
      <c r="I398" s="1">
        <v>17</v>
      </c>
      <c r="J398" s="1" t="s">
        <v>47</v>
      </c>
      <c r="K398" s="1" t="str">
        <f>_xlfn.TEXTBEFORE(tbl_SaaS_Audit[[#This Row],[region]],"-")</f>
        <v>NA</v>
      </c>
      <c r="L398" s="8" t="str">
        <f>_xlfn.TEXTAFTER(tbl_SaaS_Audit[[#This Row],[region]],"-")</f>
        <v>WEST</v>
      </c>
      <c r="M398" s="8">
        <f t="shared" si="6"/>
        <v>16</v>
      </c>
      <c r="N398" s="4">
        <f>tbl_SaaS_Audit[[#This Row],[Tenure_Months]]*tbl_SaaS_Audit[[#This Row],[Monthly_Revenue]]</f>
        <v>8202.56</v>
      </c>
      <c r="O398" s="3" t="str" cm="1">
        <f t="array" ref="O39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398" s="4" cm="1">
        <f t="array" ref="P398">_xlfn.IFS(tbl_SaaS_Audit[[#This Row],[Risk_Level]]="CRITICAL RISK",tbl_SaaS_Audit[[#This Row],[Monthly_Revenue]]*12,TRUE,0)</f>
        <v>6151.92</v>
      </c>
    </row>
    <row r="399" spans="1:16">
      <c r="A399" s="1">
        <v>398</v>
      </c>
      <c r="B399" s="1" t="s">
        <v>231</v>
      </c>
      <c r="C399" s="1" t="s">
        <v>15</v>
      </c>
      <c r="D399" s="2">
        <v>45660</v>
      </c>
      <c r="E399" s="1" t="s">
        <v>32</v>
      </c>
      <c r="F399" s="4">
        <v>5247.85</v>
      </c>
      <c r="G399" s="1" t="s">
        <v>42</v>
      </c>
      <c r="H399" s="2">
        <v>45940</v>
      </c>
      <c r="I399" s="1">
        <v>2</v>
      </c>
      <c r="J399" s="1" t="s">
        <v>37</v>
      </c>
      <c r="K399" s="1" t="str">
        <f>_xlfn.TEXTBEFORE(tbl_SaaS_Audit[[#This Row],[region]],"-")</f>
        <v>MEA</v>
      </c>
      <c r="L399" s="8" t="str">
        <f>_xlfn.TEXTAFTER(tbl_SaaS_Audit[[#This Row],[region]],"-")</f>
        <v>EGY</v>
      </c>
      <c r="M399" s="8">
        <f t="shared" si="6"/>
        <v>20</v>
      </c>
      <c r="N399" s="4">
        <f>tbl_SaaS_Audit[[#This Row],[Tenure_Months]]*tbl_SaaS_Audit[[#This Row],[Monthly_Revenue]]</f>
        <v>104957</v>
      </c>
      <c r="O399" s="3" t="str" cm="1">
        <f t="array" ref="O39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399" s="4" cm="1">
        <f t="array" ref="P399">_xlfn.IFS(tbl_SaaS_Audit[[#This Row],[Risk_Level]]="CRITICAL RISK",tbl_SaaS_Audit[[#This Row],[Monthly_Revenue]]*12,TRUE,0)</f>
        <v>0</v>
      </c>
    </row>
    <row r="400" spans="1:16">
      <c r="A400" s="1">
        <v>399</v>
      </c>
      <c r="B400" s="1" t="s">
        <v>98</v>
      </c>
      <c r="C400" s="1" t="s">
        <v>13</v>
      </c>
      <c r="D400" s="2">
        <v>45640</v>
      </c>
      <c r="E400" s="1" t="s">
        <v>32</v>
      </c>
      <c r="F400" s="4">
        <v>2309.73</v>
      </c>
      <c r="G400" s="1" t="s">
        <v>42</v>
      </c>
      <c r="H400" s="1"/>
      <c r="I400" s="1">
        <v>12</v>
      </c>
      <c r="J400" s="1" t="s">
        <v>34</v>
      </c>
      <c r="K400" s="1" t="str">
        <f>_xlfn.TEXTBEFORE(tbl_SaaS_Audit[[#This Row],[region]],"-")</f>
        <v>APAC</v>
      </c>
      <c r="L400" s="8" t="str">
        <f>_xlfn.TEXTAFTER(tbl_SaaS_Audit[[#This Row],[region]],"-")</f>
        <v>SGP</v>
      </c>
      <c r="M400" s="8">
        <f t="shared" si="6"/>
        <v>21</v>
      </c>
      <c r="N400" s="4">
        <f>tbl_SaaS_Audit[[#This Row],[Tenure_Months]]*tbl_SaaS_Audit[[#This Row],[Monthly_Revenue]]</f>
        <v>48504.33</v>
      </c>
      <c r="O400" s="3" t="str" cm="1">
        <f t="array" ref="O40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00" s="4" cm="1">
        <f t="array" ref="P400">_xlfn.IFS(tbl_SaaS_Audit[[#This Row],[Risk_Level]]="CRITICAL RISK",tbl_SaaS_Audit[[#This Row],[Monthly_Revenue]]*12,TRUE,0)</f>
        <v>27716.760000000002</v>
      </c>
    </row>
    <row r="401" spans="1:16">
      <c r="A401" s="1">
        <v>400</v>
      </c>
      <c r="B401" s="1" t="s">
        <v>254</v>
      </c>
      <c r="C401" s="1" t="s">
        <v>12</v>
      </c>
      <c r="D401" s="2">
        <v>45467</v>
      </c>
      <c r="E401" s="1" t="s">
        <v>32</v>
      </c>
      <c r="F401" s="4">
        <v>3959.03</v>
      </c>
      <c r="G401" s="1" t="s">
        <v>42</v>
      </c>
      <c r="H401" s="2">
        <v>45891</v>
      </c>
      <c r="I401" s="1">
        <v>0</v>
      </c>
      <c r="J401" s="1" t="s">
        <v>47</v>
      </c>
      <c r="K401" s="1" t="str">
        <f>_xlfn.TEXTBEFORE(tbl_SaaS_Audit[[#This Row],[region]],"-")</f>
        <v>NA</v>
      </c>
      <c r="L401" s="8" t="str">
        <f>_xlfn.TEXTAFTER(tbl_SaaS_Audit[[#This Row],[region]],"-")</f>
        <v>WEST</v>
      </c>
      <c r="M401" s="8">
        <f t="shared" si="6"/>
        <v>27</v>
      </c>
      <c r="N401" s="4">
        <f>tbl_SaaS_Audit[[#This Row],[Tenure_Months]]*tbl_SaaS_Audit[[#This Row],[Monthly_Revenue]]</f>
        <v>106893.81000000001</v>
      </c>
      <c r="O401" s="3" t="str" cm="1">
        <f t="array" ref="O40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01" s="4" cm="1">
        <f t="array" ref="P401">_xlfn.IFS(tbl_SaaS_Audit[[#This Row],[Risk_Level]]="CRITICAL RISK",tbl_SaaS_Audit[[#This Row],[Monthly_Revenue]]*12,TRUE,0)</f>
        <v>0</v>
      </c>
    </row>
    <row r="402" spans="1:16">
      <c r="A402" s="1">
        <v>401</v>
      </c>
      <c r="B402" s="1" t="s">
        <v>191</v>
      </c>
      <c r="C402" s="1" t="s">
        <v>14</v>
      </c>
      <c r="D402" s="2">
        <v>45324</v>
      </c>
      <c r="E402" s="1" t="s">
        <v>32</v>
      </c>
      <c r="F402" s="4">
        <v>13055.15</v>
      </c>
      <c r="G402" s="1" t="s">
        <v>49</v>
      </c>
      <c r="H402" s="2">
        <v>45843</v>
      </c>
      <c r="I402" s="1">
        <v>6</v>
      </c>
      <c r="J402" s="1" t="s">
        <v>37</v>
      </c>
      <c r="K402" s="1" t="str">
        <f>_xlfn.TEXTBEFORE(tbl_SaaS_Audit[[#This Row],[region]],"-")</f>
        <v>MEA</v>
      </c>
      <c r="L402" s="8" t="str">
        <f>_xlfn.TEXTAFTER(tbl_SaaS_Audit[[#This Row],[region]],"-")</f>
        <v>EGY</v>
      </c>
      <c r="M402" s="8">
        <f t="shared" si="6"/>
        <v>31</v>
      </c>
      <c r="N402" s="4">
        <f>tbl_SaaS_Audit[[#This Row],[Tenure_Months]]*tbl_SaaS_Audit[[#This Row],[Monthly_Revenue]]</f>
        <v>404709.64999999997</v>
      </c>
      <c r="O402" s="3" t="str" cm="1">
        <f t="array" ref="O40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02" s="4" cm="1">
        <f t="array" ref="P402">_xlfn.IFS(tbl_SaaS_Audit[[#This Row],[Risk_Level]]="CRITICAL RISK",tbl_SaaS_Audit[[#This Row],[Monthly_Revenue]]*12,TRUE,0)</f>
        <v>0</v>
      </c>
    </row>
    <row r="403" spans="1:16">
      <c r="A403" s="1">
        <v>402</v>
      </c>
      <c r="B403" s="1" t="s">
        <v>281</v>
      </c>
      <c r="C403" s="1" t="s">
        <v>14</v>
      </c>
      <c r="D403" s="2">
        <v>45587</v>
      </c>
      <c r="E403" s="1" t="s">
        <v>32</v>
      </c>
      <c r="F403" s="4">
        <v>2261.14</v>
      </c>
      <c r="G403" s="1" t="s">
        <v>33</v>
      </c>
      <c r="H403" s="2">
        <v>46123</v>
      </c>
      <c r="I403" s="1">
        <v>10</v>
      </c>
      <c r="J403" s="1" t="s">
        <v>45</v>
      </c>
      <c r="K403" s="1" t="str">
        <f>_xlfn.TEXTBEFORE(tbl_SaaS_Audit[[#This Row],[region]],"-")</f>
        <v>EU</v>
      </c>
      <c r="L403" s="8" t="str">
        <f>_xlfn.TEXTAFTER(tbl_SaaS_Audit[[#This Row],[region]],"-")</f>
        <v>CENTRAL</v>
      </c>
      <c r="M403" s="8">
        <f t="shared" si="6"/>
        <v>18</v>
      </c>
      <c r="N403" s="4">
        <f>tbl_SaaS_Audit[[#This Row],[Tenure_Months]]*tbl_SaaS_Audit[[#This Row],[Monthly_Revenue]]</f>
        <v>40700.519999999997</v>
      </c>
      <c r="O403" s="3" t="str" cm="1">
        <f t="array" ref="O40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03" s="4" cm="1">
        <f t="array" ref="P403">_xlfn.IFS(tbl_SaaS_Audit[[#This Row],[Risk_Level]]="CRITICAL RISK",tbl_SaaS_Audit[[#This Row],[Monthly_Revenue]]*12,TRUE,0)</f>
        <v>0</v>
      </c>
    </row>
    <row r="404" spans="1:16">
      <c r="A404" s="1">
        <v>403</v>
      </c>
      <c r="B404" s="1" t="s">
        <v>147</v>
      </c>
      <c r="C404" s="1" t="s">
        <v>12</v>
      </c>
      <c r="D404" s="2">
        <v>45581</v>
      </c>
      <c r="E404" s="1" t="s">
        <v>32</v>
      </c>
      <c r="F404" s="4">
        <v>8380.42</v>
      </c>
      <c r="G404" s="1" t="s">
        <v>33</v>
      </c>
      <c r="H404" s="2">
        <v>46180</v>
      </c>
      <c r="I404" s="1">
        <v>10</v>
      </c>
      <c r="J404" s="1" t="s">
        <v>37</v>
      </c>
      <c r="K404" s="1" t="str">
        <f>_xlfn.TEXTBEFORE(tbl_SaaS_Audit[[#This Row],[region]],"-")</f>
        <v>MEA</v>
      </c>
      <c r="L404" s="8" t="str">
        <f>_xlfn.TEXTAFTER(tbl_SaaS_Audit[[#This Row],[region]],"-")</f>
        <v>EGY</v>
      </c>
      <c r="M404" s="8">
        <f t="shared" si="6"/>
        <v>20</v>
      </c>
      <c r="N404" s="4">
        <f>tbl_SaaS_Audit[[#This Row],[Tenure_Months]]*tbl_SaaS_Audit[[#This Row],[Monthly_Revenue]]</f>
        <v>167608.4</v>
      </c>
      <c r="O404" s="3" t="str" cm="1">
        <f t="array" ref="O40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04" s="4" cm="1">
        <f t="array" ref="P404">_xlfn.IFS(tbl_SaaS_Audit[[#This Row],[Risk_Level]]="CRITICAL RISK",tbl_SaaS_Audit[[#This Row],[Monthly_Revenue]]*12,TRUE,0)</f>
        <v>0</v>
      </c>
    </row>
    <row r="405" spans="1:16">
      <c r="A405" s="1">
        <v>404</v>
      </c>
      <c r="B405" s="1" t="s">
        <v>227</v>
      </c>
      <c r="C405" s="1" t="s">
        <v>14</v>
      </c>
      <c r="D405" s="2">
        <v>45748</v>
      </c>
      <c r="E405" s="1" t="s">
        <v>32</v>
      </c>
      <c r="F405" s="4">
        <v>6835.54</v>
      </c>
      <c r="G405" s="1" t="s">
        <v>36</v>
      </c>
      <c r="H405" s="1"/>
      <c r="I405" s="1">
        <v>16</v>
      </c>
      <c r="J405" s="1" t="s">
        <v>51</v>
      </c>
      <c r="K405" s="1" t="str">
        <f>_xlfn.TEXTBEFORE(tbl_SaaS_Audit[[#This Row],[region]],"-")</f>
        <v>NA</v>
      </c>
      <c r="L405" s="8" t="str">
        <f>_xlfn.TEXTAFTER(tbl_SaaS_Audit[[#This Row],[region]],"-")</f>
        <v>EAST</v>
      </c>
      <c r="M405" s="8">
        <f t="shared" si="6"/>
        <v>17</v>
      </c>
      <c r="N405" s="4">
        <f>tbl_SaaS_Audit[[#This Row],[Tenure_Months]]*tbl_SaaS_Audit[[#This Row],[Monthly_Revenue]]</f>
        <v>116204.18</v>
      </c>
      <c r="O405" s="3" t="str" cm="1">
        <f t="array" ref="O40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05" s="4" cm="1">
        <f t="array" ref="P405">_xlfn.IFS(tbl_SaaS_Audit[[#This Row],[Risk_Level]]="CRITICAL RISK",tbl_SaaS_Audit[[#This Row],[Monthly_Revenue]]*12,TRUE,0)</f>
        <v>0</v>
      </c>
    </row>
    <row r="406" spans="1:16">
      <c r="A406" s="1">
        <v>405</v>
      </c>
      <c r="B406" s="1" t="s">
        <v>276</v>
      </c>
      <c r="C406" s="1" t="s">
        <v>14</v>
      </c>
      <c r="D406" s="2">
        <v>45580</v>
      </c>
      <c r="E406" s="1" t="s">
        <v>39</v>
      </c>
      <c r="F406" s="4">
        <v>3262.19</v>
      </c>
      <c r="G406" s="1" t="s">
        <v>49</v>
      </c>
      <c r="H406" s="2">
        <v>45839</v>
      </c>
      <c r="I406" s="1">
        <v>18</v>
      </c>
      <c r="J406" s="1" t="s">
        <v>34</v>
      </c>
      <c r="K406" s="1" t="str">
        <f>_xlfn.TEXTBEFORE(tbl_SaaS_Audit[[#This Row],[region]],"-")</f>
        <v>APAC</v>
      </c>
      <c r="L406" s="8" t="str">
        <f>_xlfn.TEXTAFTER(tbl_SaaS_Audit[[#This Row],[region]],"-")</f>
        <v>SGP</v>
      </c>
      <c r="M406" s="8">
        <f t="shared" si="6"/>
        <v>23</v>
      </c>
      <c r="N406" s="4">
        <f>tbl_SaaS_Audit[[#This Row],[Tenure_Months]]*tbl_SaaS_Audit[[#This Row],[Monthly_Revenue]]</f>
        <v>75030.37</v>
      </c>
      <c r="O406" s="3" t="str" cm="1">
        <f t="array" ref="O40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06" s="4" cm="1">
        <f t="array" ref="P406">_xlfn.IFS(tbl_SaaS_Audit[[#This Row],[Risk_Level]]="CRITICAL RISK",tbl_SaaS_Audit[[#This Row],[Monthly_Revenue]]*12,TRUE,0)</f>
        <v>0</v>
      </c>
    </row>
    <row r="407" spans="1:16">
      <c r="A407" s="1">
        <v>406</v>
      </c>
      <c r="B407" s="1" t="s">
        <v>282</v>
      </c>
      <c r="C407" s="1" t="s">
        <v>15</v>
      </c>
      <c r="D407" s="2">
        <v>45547</v>
      </c>
      <c r="E407" s="1" t="s">
        <v>41</v>
      </c>
      <c r="F407" s="4">
        <v>14601.56</v>
      </c>
      <c r="G407" s="1" t="s">
        <v>33</v>
      </c>
      <c r="H407" s="2">
        <v>45966</v>
      </c>
      <c r="I407" s="1">
        <v>2</v>
      </c>
      <c r="J407" s="1" t="s">
        <v>51</v>
      </c>
      <c r="K407" s="1" t="str">
        <f>_xlfn.TEXTBEFORE(tbl_SaaS_Audit[[#This Row],[region]],"-")</f>
        <v>NA</v>
      </c>
      <c r="L407" s="8" t="str">
        <f>_xlfn.TEXTAFTER(tbl_SaaS_Audit[[#This Row],[region]],"-")</f>
        <v>EAST</v>
      </c>
      <c r="M407" s="8">
        <f t="shared" si="6"/>
        <v>14</v>
      </c>
      <c r="N407" s="4">
        <f>tbl_SaaS_Audit[[#This Row],[Tenure_Months]]*tbl_SaaS_Audit[[#This Row],[Monthly_Revenue]]</f>
        <v>204421.84</v>
      </c>
      <c r="O407" s="3" t="str" cm="1">
        <f t="array" ref="O40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07" s="4" cm="1">
        <f t="array" ref="P407">_xlfn.IFS(tbl_SaaS_Audit[[#This Row],[Risk_Level]]="CRITICAL RISK",tbl_SaaS_Audit[[#This Row],[Monthly_Revenue]]*12,TRUE,0)</f>
        <v>0</v>
      </c>
    </row>
    <row r="408" spans="1:16">
      <c r="A408" s="1">
        <v>407</v>
      </c>
      <c r="B408" s="1" t="s">
        <v>129</v>
      </c>
      <c r="C408" s="1" t="s">
        <v>15</v>
      </c>
      <c r="D408" s="2">
        <v>45431</v>
      </c>
      <c r="E408" s="1" t="s">
        <v>32</v>
      </c>
      <c r="F408" s="4">
        <v>607.72</v>
      </c>
      <c r="G408" s="1" t="s">
        <v>49</v>
      </c>
      <c r="H408" s="2">
        <v>46083</v>
      </c>
      <c r="I408" s="1">
        <v>8</v>
      </c>
      <c r="J408" s="1" t="s">
        <v>47</v>
      </c>
      <c r="K408" s="1" t="str">
        <f>_xlfn.TEXTBEFORE(tbl_SaaS_Audit[[#This Row],[region]],"-")</f>
        <v>NA</v>
      </c>
      <c r="L408" s="8" t="str">
        <f>_xlfn.TEXTAFTER(tbl_SaaS_Audit[[#This Row],[region]],"-")</f>
        <v>WEST</v>
      </c>
      <c r="M408" s="8">
        <f t="shared" si="6"/>
        <v>28</v>
      </c>
      <c r="N408" s="4">
        <f>tbl_SaaS_Audit[[#This Row],[Tenure_Months]]*tbl_SaaS_Audit[[#This Row],[Monthly_Revenue]]</f>
        <v>17016.16</v>
      </c>
      <c r="O408" s="3" t="str" cm="1">
        <f t="array" ref="O40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08" s="4" cm="1">
        <f t="array" ref="P408">_xlfn.IFS(tbl_SaaS_Audit[[#This Row],[Risk_Level]]="CRITICAL RISK",tbl_SaaS_Audit[[#This Row],[Monthly_Revenue]]*12,TRUE,0)</f>
        <v>0</v>
      </c>
    </row>
    <row r="409" spans="1:16">
      <c r="A409" s="1">
        <v>408</v>
      </c>
      <c r="B409" s="1" t="s">
        <v>283</v>
      </c>
      <c r="C409" s="1" t="s">
        <v>11</v>
      </c>
      <c r="D409" s="2">
        <v>45698</v>
      </c>
      <c r="E409" s="1" t="s">
        <v>32</v>
      </c>
      <c r="F409" s="4">
        <v>4831.6499999999996</v>
      </c>
      <c r="G409" s="1" t="s">
        <v>33</v>
      </c>
      <c r="H409" s="2">
        <v>45964</v>
      </c>
      <c r="I409" s="1">
        <v>3</v>
      </c>
      <c r="J409" s="1" t="s">
        <v>47</v>
      </c>
      <c r="K409" s="1" t="str">
        <f>_xlfn.TEXTBEFORE(tbl_SaaS_Audit[[#This Row],[region]],"-")</f>
        <v>NA</v>
      </c>
      <c r="L409" s="8" t="str">
        <f>_xlfn.TEXTAFTER(tbl_SaaS_Audit[[#This Row],[region]],"-")</f>
        <v>WEST</v>
      </c>
      <c r="M409" s="8">
        <f t="shared" si="6"/>
        <v>9</v>
      </c>
      <c r="N409" s="4">
        <f>tbl_SaaS_Audit[[#This Row],[Tenure_Months]]*tbl_SaaS_Audit[[#This Row],[Monthly_Revenue]]</f>
        <v>43484.85</v>
      </c>
      <c r="O409" s="3" t="str" cm="1">
        <f t="array" ref="O40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09" s="4" cm="1">
        <f t="array" ref="P409">_xlfn.IFS(tbl_SaaS_Audit[[#This Row],[Risk_Level]]="CRITICAL RISK",tbl_SaaS_Audit[[#This Row],[Monthly_Revenue]]*12,TRUE,0)</f>
        <v>0</v>
      </c>
    </row>
    <row r="410" spans="1:16">
      <c r="A410" s="1">
        <v>409</v>
      </c>
      <c r="B410" s="1" t="s">
        <v>284</v>
      </c>
      <c r="C410" s="1" t="s">
        <v>13</v>
      </c>
      <c r="D410" s="2">
        <v>45373</v>
      </c>
      <c r="E410" s="1" t="s">
        <v>39</v>
      </c>
      <c r="F410" s="4">
        <v>6912.68</v>
      </c>
      <c r="G410" s="1" t="s">
        <v>42</v>
      </c>
      <c r="H410" s="2">
        <v>46119</v>
      </c>
      <c r="I410" s="1">
        <v>10</v>
      </c>
      <c r="J410" s="1" t="s">
        <v>45</v>
      </c>
      <c r="K410" s="1" t="str">
        <f>_xlfn.TEXTBEFORE(tbl_SaaS_Audit[[#This Row],[region]],"-")</f>
        <v>EU</v>
      </c>
      <c r="L410" s="8" t="str">
        <f>_xlfn.TEXTAFTER(tbl_SaaS_Audit[[#This Row],[region]],"-")</f>
        <v>CENTRAL</v>
      </c>
      <c r="M410" s="8">
        <f t="shared" si="6"/>
        <v>30</v>
      </c>
      <c r="N410" s="4">
        <f>tbl_SaaS_Audit[[#This Row],[Tenure_Months]]*tbl_SaaS_Audit[[#This Row],[Monthly_Revenue]]</f>
        <v>207380.40000000002</v>
      </c>
      <c r="O410" s="3" t="str" cm="1">
        <f t="array" ref="O41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0" s="4" cm="1">
        <f t="array" ref="P410">_xlfn.IFS(tbl_SaaS_Audit[[#This Row],[Risk_Level]]="CRITICAL RISK",tbl_SaaS_Audit[[#This Row],[Monthly_Revenue]]*12,TRUE,0)</f>
        <v>0</v>
      </c>
    </row>
    <row r="411" spans="1:16">
      <c r="A411" s="1">
        <v>410</v>
      </c>
      <c r="B411" s="1" t="s">
        <v>100</v>
      </c>
      <c r="C411" s="1" t="s">
        <v>11</v>
      </c>
      <c r="D411" s="2">
        <v>45637</v>
      </c>
      <c r="E411" s="1" t="s">
        <v>41</v>
      </c>
      <c r="F411" s="4">
        <v>966.97</v>
      </c>
      <c r="G411" s="1" t="s">
        <v>49</v>
      </c>
      <c r="H411" s="2">
        <v>46117</v>
      </c>
      <c r="I411" s="1">
        <v>5</v>
      </c>
      <c r="J411" s="1" t="s">
        <v>45</v>
      </c>
      <c r="K411" s="1" t="str">
        <f>_xlfn.TEXTBEFORE(tbl_SaaS_Audit[[#This Row],[region]],"-")</f>
        <v>EU</v>
      </c>
      <c r="L411" s="8" t="str">
        <f>_xlfn.TEXTAFTER(tbl_SaaS_Audit[[#This Row],[region]],"-")</f>
        <v>CENTRAL</v>
      </c>
      <c r="M411" s="8">
        <f t="shared" si="6"/>
        <v>21</v>
      </c>
      <c r="N411" s="4">
        <f>tbl_SaaS_Audit[[#This Row],[Tenure_Months]]*tbl_SaaS_Audit[[#This Row],[Monthly_Revenue]]</f>
        <v>20306.37</v>
      </c>
      <c r="O411" s="3" t="str" cm="1">
        <f t="array" ref="O41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1" s="4" cm="1">
        <f t="array" ref="P411">_xlfn.IFS(tbl_SaaS_Audit[[#This Row],[Risk_Level]]="CRITICAL RISK",tbl_SaaS_Audit[[#This Row],[Monthly_Revenue]]*12,TRUE,0)</f>
        <v>0</v>
      </c>
    </row>
    <row r="412" spans="1:16">
      <c r="A412" s="1">
        <v>411</v>
      </c>
      <c r="B412" s="1" t="s">
        <v>170</v>
      </c>
      <c r="C412" s="1" t="s">
        <v>11</v>
      </c>
      <c r="D412" s="2">
        <v>45582</v>
      </c>
      <c r="E412" s="1" t="s">
        <v>32</v>
      </c>
      <c r="F412" s="4">
        <v>13801.14</v>
      </c>
      <c r="G412" s="1" t="s">
        <v>42</v>
      </c>
      <c r="H412" s="1"/>
      <c r="I412" s="1">
        <v>5</v>
      </c>
      <c r="J412" s="1" t="s">
        <v>45</v>
      </c>
      <c r="K412" s="1" t="str">
        <f>_xlfn.TEXTBEFORE(tbl_SaaS_Audit[[#This Row],[region]],"-")</f>
        <v>EU</v>
      </c>
      <c r="L412" s="8" t="str">
        <f>_xlfn.TEXTAFTER(tbl_SaaS_Audit[[#This Row],[region]],"-")</f>
        <v>CENTRAL</v>
      </c>
      <c r="M412" s="8">
        <f t="shared" si="6"/>
        <v>23</v>
      </c>
      <c r="N412" s="4">
        <f>tbl_SaaS_Audit[[#This Row],[Tenure_Months]]*tbl_SaaS_Audit[[#This Row],[Monthly_Revenue]]</f>
        <v>317426.21999999997</v>
      </c>
      <c r="O412" s="3" t="str" cm="1">
        <f t="array" ref="O41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2" s="4" cm="1">
        <f t="array" ref="P412">_xlfn.IFS(tbl_SaaS_Audit[[#This Row],[Risk_Level]]="CRITICAL RISK",tbl_SaaS_Audit[[#This Row],[Monthly_Revenue]]*12,TRUE,0)</f>
        <v>0</v>
      </c>
    </row>
    <row r="413" spans="1:16">
      <c r="A413" s="1">
        <v>412</v>
      </c>
      <c r="B413" s="1" t="s">
        <v>191</v>
      </c>
      <c r="C413" s="1" t="s">
        <v>11</v>
      </c>
      <c r="D413" s="2">
        <v>45461</v>
      </c>
      <c r="E413" s="1" t="s">
        <v>32</v>
      </c>
      <c r="F413" s="4">
        <v>8649.82</v>
      </c>
      <c r="G413" s="1" t="s">
        <v>36</v>
      </c>
      <c r="H413" s="2">
        <v>46158</v>
      </c>
      <c r="I413" s="1">
        <v>0</v>
      </c>
      <c r="J413" s="1" t="s">
        <v>51</v>
      </c>
      <c r="K413" s="1" t="str">
        <f>_xlfn.TEXTBEFORE(tbl_SaaS_Audit[[#This Row],[region]],"-")</f>
        <v>NA</v>
      </c>
      <c r="L413" s="8" t="str">
        <f>_xlfn.TEXTAFTER(tbl_SaaS_Audit[[#This Row],[region]],"-")</f>
        <v>EAST</v>
      </c>
      <c r="M413" s="8">
        <f t="shared" si="6"/>
        <v>27</v>
      </c>
      <c r="N413" s="4">
        <f>tbl_SaaS_Audit[[#This Row],[Tenure_Months]]*tbl_SaaS_Audit[[#This Row],[Monthly_Revenue]]</f>
        <v>233545.13999999998</v>
      </c>
      <c r="O413" s="3" t="str" cm="1">
        <f t="array" ref="O41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13" s="4" cm="1">
        <f t="array" ref="P413">_xlfn.IFS(tbl_SaaS_Audit[[#This Row],[Risk_Level]]="CRITICAL RISK",tbl_SaaS_Audit[[#This Row],[Monthly_Revenue]]*12,TRUE,0)</f>
        <v>0</v>
      </c>
    </row>
    <row r="414" spans="1:16">
      <c r="A414" s="1">
        <v>413</v>
      </c>
      <c r="B414" s="1" t="s">
        <v>285</v>
      </c>
      <c r="C414" s="1" t="s">
        <v>14</v>
      </c>
      <c r="D414" s="2">
        <v>45710</v>
      </c>
      <c r="E414" s="1" t="s">
        <v>41</v>
      </c>
      <c r="F414" s="4">
        <v>2293.83</v>
      </c>
      <c r="G414" s="1" t="s">
        <v>33</v>
      </c>
      <c r="H414" s="2">
        <v>45839</v>
      </c>
      <c r="I414" s="1">
        <v>8</v>
      </c>
      <c r="J414" s="1" t="s">
        <v>45</v>
      </c>
      <c r="K414" s="1" t="str">
        <f>_xlfn.TEXTBEFORE(tbl_SaaS_Audit[[#This Row],[region]],"-")</f>
        <v>EU</v>
      </c>
      <c r="L414" s="8" t="str">
        <f>_xlfn.TEXTAFTER(tbl_SaaS_Audit[[#This Row],[region]],"-")</f>
        <v>CENTRAL</v>
      </c>
      <c r="M414" s="8">
        <f t="shared" si="6"/>
        <v>5</v>
      </c>
      <c r="N414" s="4">
        <f>tbl_SaaS_Audit[[#This Row],[Tenure_Months]]*tbl_SaaS_Audit[[#This Row],[Monthly_Revenue]]</f>
        <v>11469.15</v>
      </c>
      <c r="O414" s="3" t="str" cm="1">
        <f t="array" ref="O41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4" s="4" cm="1">
        <f t="array" ref="P414">_xlfn.IFS(tbl_SaaS_Audit[[#This Row],[Risk_Level]]="CRITICAL RISK",tbl_SaaS_Audit[[#This Row],[Monthly_Revenue]]*12,TRUE,0)</f>
        <v>0</v>
      </c>
    </row>
    <row r="415" spans="1:16">
      <c r="A415" s="1">
        <v>414</v>
      </c>
      <c r="B415" s="1" t="s">
        <v>286</v>
      </c>
      <c r="C415" s="1" t="s">
        <v>15</v>
      </c>
      <c r="D415" s="2">
        <v>45505</v>
      </c>
      <c r="E415" s="1" t="s">
        <v>41</v>
      </c>
      <c r="F415" s="4">
        <v>10173.870000000001</v>
      </c>
      <c r="G415" s="1" t="s">
        <v>42</v>
      </c>
      <c r="H415" s="2">
        <v>46042</v>
      </c>
      <c r="I415" s="1">
        <v>17</v>
      </c>
      <c r="J415" s="1" t="s">
        <v>45</v>
      </c>
      <c r="K415" s="1" t="str">
        <f>_xlfn.TEXTBEFORE(tbl_SaaS_Audit[[#This Row],[region]],"-")</f>
        <v>EU</v>
      </c>
      <c r="L415" s="8" t="str">
        <f>_xlfn.TEXTAFTER(tbl_SaaS_Audit[[#This Row],[region]],"-")</f>
        <v>CENTRAL</v>
      </c>
      <c r="M415" s="8">
        <f t="shared" si="6"/>
        <v>25</v>
      </c>
      <c r="N415" s="4">
        <f>tbl_SaaS_Audit[[#This Row],[Tenure_Months]]*tbl_SaaS_Audit[[#This Row],[Monthly_Revenue]]</f>
        <v>254346.75000000003</v>
      </c>
      <c r="O415" s="3" t="str" cm="1">
        <f t="array" ref="O41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15" s="4" cm="1">
        <f t="array" ref="P415">_xlfn.IFS(tbl_SaaS_Audit[[#This Row],[Risk_Level]]="CRITICAL RISK",tbl_SaaS_Audit[[#This Row],[Monthly_Revenue]]*12,TRUE,0)</f>
        <v>122086.44</v>
      </c>
    </row>
    <row r="416" spans="1:16">
      <c r="A416" s="1">
        <v>415</v>
      </c>
      <c r="B416" s="1" t="s">
        <v>135</v>
      </c>
      <c r="C416" s="1" t="s">
        <v>11</v>
      </c>
      <c r="D416" s="2">
        <v>45412</v>
      </c>
      <c r="E416" s="1" t="s">
        <v>41</v>
      </c>
      <c r="F416" s="4">
        <v>10133.02</v>
      </c>
      <c r="G416" s="1" t="s">
        <v>36</v>
      </c>
      <c r="H416" s="2">
        <v>45948</v>
      </c>
      <c r="I416" s="1">
        <v>5</v>
      </c>
      <c r="J416" s="1" t="s">
        <v>45</v>
      </c>
      <c r="K416" s="1" t="str">
        <f>_xlfn.TEXTBEFORE(tbl_SaaS_Audit[[#This Row],[region]],"-")</f>
        <v>EU</v>
      </c>
      <c r="L416" s="8" t="str">
        <f>_xlfn.TEXTAFTER(tbl_SaaS_Audit[[#This Row],[region]],"-")</f>
        <v>CENTRAL</v>
      </c>
      <c r="M416" s="8">
        <f t="shared" si="6"/>
        <v>29</v>
      </c>
      <c r="N416" s="4">
        <f>tbl_SaaS_Audit[[#This Row],[Tenure_Months]]*tbl_SaaS_Audit[[#This Row],[Monthly_Revenue]]</f>
        <v>293857.58</v>
      </c>
      <c r="O416" s="3" t="str" cm="1">
        <f t="array" ref="O41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6" s="4" cm="1">
        <f t="array" ref="P416">_xlfn.IFS(tbl_SaaS_Audit[[#This Row],[Risk_Level]]="CRITICAL RISK",tbl_SaaS_Audit[[#This Row],[Monthly_Revenue]]*12,TRUE,0)</f>
        <v>0</v>
      </c>
    </row>
    <row r="417" spans="1:16">
      <c r="A417" s="1">
        <v>416</v>
      </c>
      <c r="B417" s="1" t="s">
        <v>287</v>
      </c>
      <c r="C417" s="1" t="s">
        <v>12</v>
      </c>
      <c r="D417" s="2">
        <v>45570</v>
      </c>
      <c r="E417" s="1" t="s">
        <v>39</v>
      </c>
      <c r="F417" s="4">
        <v>5025.0600000000004</v>
      </c>
      <c r="G417" s="1" t="s">
        <v>49</v>
      </c>
      <c r="H417" s="2">
        <v>46235</v>
      </c>
      <c r="I417" s="1">
        <v>16</v>
      </c>
      <c r="J417" s="1" t="s">
        <v>51</v>
      </c>
      <c r="K417" s="1" t="str">
        <f>_xlfn.TEXTBEFORE(tbl_SaaS_Audit[[#This Row],[region]],"-")</f>
        <v>NA</v>
      </c>
      <c r="L417" s="8" t="str">
        <f>_xlfn.TEXTAFTER(tbl_SaaS_Audit[[#This Row],[region]],"-")</f>
        <v>EAST</v>
      </c>
      <c r="M417" s="8">
        <f t="shared" si="6"/>
        <v>23</v>
      </c>
      <c r="N417" s="4">
        <f>tbl_SaaS_Audit[[#This Row],[Tenure_Months]]*tbl_SaaS_Audit[[#This Row],[Monthly_Revenue]]</f>
        <v>115576.38</v>
      </c>
      <c r="O417" s="3" t="str" cm="1">
        <f t="array" ref="O41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7" s="4" cm="1">
        <f t="array" ref="P417">_xlfn.IFS(tbl_SaaS_Audit[[#This Row],[Risk_Level]]="CRITICAL RISK",tbl_SaaS_Audit[[#This Row],[Monthly_Revenue]]*12,TRUE,0)</f>
        <v>0</v>
      </c>
    </row>
    <row r="418" spans="1:16">
      <c r="A418" s="1">
        <v>417</v>
      </c>
      <c r="B418" s="1" t="s">
        <v>272</v>
      </c>
      <c r="C418" s="1" t="s">
        <v>11</v>
      </c>
      <c r="D418" s="2">
        <v>45551</v>
      </c>
      <c r="E418" s="1" t="s">
        <v>32</v>
      </c>
      <c r="F418" s="4">
        <v>9640.32</v>
      </c>
      <c r="G418" s="1" t="s">
        <v>42</v>
      </c>
      <c r="H418" s="1"/>
      <c r="I418" s="1">
        <v>10</v>
      </c>
      <c r="J418" s="1" t="s">
        <v>37</v>
      </c>
      <c r="K418" s="1" t="str">
        <f>_xlfn.TEXTBEFORE(tbl_SaaS_Audit[[#This Row],[region]],"-")</f>
        <v>MEA</v>
      </c>
      <c r="L418" s="8" t="str">
        <f>_xlfn.TEXTAFTER(tbl_SaaS_Audit[[#This Row],[region]],"-")</f>
        <v>EGY</v>
      </c>
      <c r="M418" s="8">
        <f t="shared" si="6"/>
        <v>24</v>
      </c>
      <c r="N418" s="4">
        <f>tbl_SaaS_Audit[[#This Row],[Tenure_Months]]*tbl_SaaS_Audit[[#This Row],[Monthly_Revenue]]</f>
        <v>231367.67999999999</v>
      </c>
      <c r="O418" s="3" t="str" cm="1">
        <f t="array" ref="O41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8" s="4" cm="1">
        <f t="array" ref="P418">_xlfn.IFS(tbl_SaaS_Audit[[#This Row],[Risk_Level]]="CRITICAL RISK",tbl_SaaS_Audit[[#This Row],[Monthly_Revenue]]*12,TRUE,0)</f>
        <v>0</v>
      </c>
    </row>
    <row r="419" spans="1:16">
      <c r="A419" s="1">
        <v>418</v>
      </c>
      <c r="B419" s="1" t="s">
        <v>288</v>
      </c>
      <c r="C419" s="1" t="s">
        <v>12</v>
      </c>
      <c r="D419" s="2">
        <v>45481</v>
      </c>
      <c r="E419" s="1" t="s">
        <v>41</v>
      </c>
      <c r="F419" s="4">
        <v>2357.06</v>
      </c>
      <c r="G419" s="1" t="s">
        <v>42</v>
      </c>
      <c r="H419" s="2">
        <v>46031</v>
      </c>
      <c r="I419" s="1">
        <v>6</v>
      </c>
      <c r="J419" s="1" t="s">
        <v>34</v>
      </c>
      <c r="K419" s="1" t="str">
        <f>_xlfn.TEXTBEFORE(tbl_SaaS_Audit[[#This Row],[region]],"-")</f>
        <v>APAC</v>
      </c>
      <c r="L419" s="8" t="str">
        <f>_xlfn.TEXTAFTER(tbl_SaaS_Audit[[#This Row],[region]],"-")</f>
        <v>SGP</v>
      </c>
      <c r="M419" s="8">
        <f t="shared" si="6"/>
        <v>26</v>
      </c>
      <c r="N419" s="4">
        <f>tbl_SaaS_Audit[[#This Row],[Tenure_Months]]*tbl_SaaS_Audit[[#This Row],[Monthly_Revenue]]</f>
        <v>61283.56</v>
      </c>
      <c r="O419" s="3" t="str" cm="1">
        <f t="array" ref="O41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19" s="4" cm="1">
        <f t="array" ref="P419">_xlfn.IFS(tbl_SaaS_Audit[[#This Row],[Risk_Level]]="CRITICAL RISK",tbl_SaaS_Audit[[#This Row],[Monthly_Revenue]]*12,TRUE,0)</f>
        <v>0</v>
      </c>
    </row>
    <row r="420" spans="1:16">
      <c r="A420" s="1">
        <v>419</v>
      </c>
      <c r="B420" s="1" t="s">
        <v>92</v>
      </c>
      <c r="C420" s="1" t="s">
        <v>11</v>
      </c>
      <c r="D420" s="2">
        <v>45346</v>
      </c>
      <c r="E420" s="1" t="s">
        <v>41</v>
      </c>
      <c r="F420" s="4">
        <v>4627.34</v>
      </c>
      <c r="G420" s="1" t="s">
        <v>36</v>
      </c>
      <c r="H420" s="2">
        <v>46245</v>
      </c>
      <c r="I420" s="1">
        <v>10</v>
      </c>
      <c r="J420" s="1" t="s">
        <v>45</v>
      </c>
      <c r="K420" s="1" t="str">
        <f>_xlfn.TEXTBEFORE(tbl_SaaS_Audit[[#This Row],[region]],"-")</f>
        <v>EU</v>
      </c>
      <c r="L420" s="8" t="str">
        <f>_xlfn.TEXTAFTER(tbl_SaaS_Audit[[#This Row],[region]],"-")</f>
        <v>CENTRAL</v>
      </c>
      <c r="M420" s="8">
        <f t="shared" si="6"/>
        <v>31</v>
      </c>
      <c r="N420" s="4">
        <f>tbl_SaaS_Audit[[#This Row],[Tenure_Months]]*tbl_SaaS_Audit[[#This Row],[Monthly_Revenue]]</f>
        <v>143447.54</v>
      </c>
      <c r="O420" s="3" t="str" cm="1">
        <f t="array" ref="O42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20" s="4" cm="1">
        <f t="array" ref="P420">_xlfn.IFS(tbl_SaaS_Audit[[#This Row],[Risk_Level]]="CRITICAL RISK",tbl_SaaS_Audit[[#This Row],[Monthly_Revenue]]*12,TRUE,0)</f>
        <v>0</v>
      </c>
    </row>
    <row r="421" spans="1:16">
      <c r="A421" s="1">
        <v>420</v>
      </c>
      <c r="B421" s="1" t="s">
        <v>68</v>
      </c>
      <c r="C421" s="1" t="s">
        <v>14</v>
      </c>
      <c r="D421" s="2">
        <v>45614</v>
      </c>
      <c r="E421" s="1" t="s">
        <v>32</v>
      </c>
      <c r="F421" s="4">
        <v>3886.56</v>
      </c>
      <c r="G421" s="1" t="s">
        <v>36</v>
      </c>
      <c r="H421" s="2">
        <v>46190</v>
      </c>
      <c r="I421" s="1">
        <v>12</v>
      </c>
      <c r="J421" s="1" t="s">
        <v>47</v>
      </c>
      <c r="K421" s="1" t="str">
        <f>_xlfn.TEXTBEFORE(tbl_SaaS_Audit[[#This Row],[region]],"-")</f>
        <v>NA</v>
      </c>
      <c r="L421" s="8" t="str">
        <f>_xlfn.TEXTAFTER(tbl_SaaS_Audit[[#This Row],[region]],"-")</f>
        <v>WEST</v>
      </c>
      <c r="M421" s="8">
        <f t="shared" si="6"/>
        <v>22</v>
      </c>
      <c r="N421" s="4">
        <f>tbl_SaaS_Audit[[#This Row],[Tenure_Months]]*tbl_SaaS_Audit[[#This Row],[Monthly_Revenue]]</f>
        <v>85504.319999999992</v>
      </c>
      <c r="O421" s="3" t="str" cm="1">
        <f t="array" ref="O42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21" s="4" cm="1">
        <f t="array" ref="P421">_xlfn.IFS(tbl_SaaS_Audit[[#This Row],[Risk_Level]]="CRITICAL RISK",tbl_SaaS_Audit[[#This Row],[Monthly_Revenue]]*12,TRUE,0)</f>
        <v>0</v>
      </c>
    </row>
    <row r="422" spans="1:16">
      <c r="A422" s="1">
        <v>421</v>
      </c>
      <c r="B422" s="1" t="s">
        <v>179</v>
      </c>
      <c r="C422" s="1" t="s">
        <v>12</v>
      </c>
      <c r="D422" s="2">
        <v>45610</v>
      </c>
      <c r="E422" s="1" t="s">
        <v>32</v>
      </c>
      <c r="F422" s="4">
        <v>12823.61</v>
      </c>
      <c r="G422" s="1" t="s">
        <v>49</v>
      </c>
      <c r="H422" s="2">
        <v>46038</v>
      </c>
      <c r="I422" s="1">
        <v>18</v>
      </c>
      <c r="J422" s="1" t="s">
        <v>45</v>
      </c>
      <c r="K422" s="1" t="str">
        <f>_xlfn.TEXTBEFORE(tbl_SaaS_Audit[[#This Row],[region]],"-")</f>
        <v>EU</v>
      </c>
      <c r="L422" s="8" t="str">
        <f>_xlfn.TEXTAFTER(tbl_SaaS_Audit[[#This Row],[region]],"-")</f>
        <v>CENTRAL</v>
      </c>
      <c r="M422" s="8">
        <f t="shared" si="6"/>
        <v>22</v>
      </c>
      <c r="N422" s="4">
        <f>tbl_SaaS_Audit[[#This Row],[Tenure_Months]]*tbl_SaaS_Audit[[#This Row],[Monthly_Revenue]]</f>
        <v>282119.42000000004</v>
      </c>
      <c r="O422" s="3" t="str" cm="1">
        <f t="array" ref="O42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22" s="4" cm="1">
        <f t="array" ref="P422">_xlfn.IFS(tbl_SaaS_Audit[[#This Row],[Risk_Level]]="CRITICAL RISK",tbl_SaaS_Audit[[#This Row],[Monthly_Revenue]]*12,TRUE,0)</f>
        <v>0</v>
      </c>
    </row>
    <row r="423" spans="1:16">
      <c r="A423" s="1">
        <v>422</v>
      </c>
      <c r="B423" s="1" t="s">
        <v>289</v>
      </c>
      <c r="C423" s="1" t="s">
        <v>15</v>
      </c>
      <c r="D423" s="2">
        <v>45585</v>
      </c>
      <c r="E423" s="1" t="s">
        <v>41</v>
      </c>
      <c r="F423" s="4">
        <v>6207.03</v>
      </c>
      <c r="G423" s="1" t="s">
        <v>42</v>
      </c>
      <c r="H423" s="1"/>
      <c r="I423" s="1">
        <v>12</v>
      </c>
      <c r="J423" s="1" t="s">
        <v>51</v>
      </c>
      <c r="K423" s="1" t="str">
        <f>_xlfn.TEXTBEFORE(tbl_SaaS_Audit[[#This Row],[region]],"-")</f>
        <v>NA</v>
      </c>
      <c r="L423" s="8" t="str">
        <f>_xlfn.TEXTAFTER(tbl_SaaS_Audit[[#This Row],[region]],"-")</f>
        <v>EAST</v>
      </c>
      <c r="M423" s="8">
        <f t="shared" si="6"/>
        <v>23</v>
      </c>
      <c r="N423" s="4">
        <f>tbl_SaaS_Audit[[#This Row],[Tenure_Months]]*tbl_SaaS_Audit[[#This Row],[Monthly_Revenue]]</f>
        <v>142761.69</v>
      </c>
      <c r="O423" s="3" t="str" cm="1">
        <f t="array" ref="O42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23" s="4" cm="1">
        <f t="array" ref="P423">_xlfn.IFS(tbl_SaaS_Audit[[#This Row],[Risk_Level]]="CRITICAL RISK",tbl_SaaS_Audit[[#This Row],[Monthly_Revenue]]*12,TRUE,0)</f>
        <v>74484.36</v>
      </c>
    </row>
    <row r="424" spans="1:16">
      <c r="A424" s="1">
        <v>423</v>
      </c>
      <c r="B424" s="1" t="s">
        <v>44</v>
      </c>
      <c r="C424" s="1" t="s">
        <v>13</v>
      </c>
      <c r="D424" s="2">
        <v>45645</v>
      </c>
      <c r="E424" s="1" t="s">
        <v>41</v>
      </c>
      <c r="F424" s="4">
        <v>8644.35</v>
      </c>
      <c r="G424" s="1" t="s">
        <v>42</v>
      </c>
      <c r="H424" s="2">
        <v>45869</v>
      </c>
      <c r="I424" s="1">
        <v>15</v>
      </c>
      <c r="J424" s="1" t="s">
        <v>47</v>
      </c>
      <c r="K424" s="1" t="str">
        <f>_xlfn.TEXTBEFORE(tbl_SaaS_Audit[[#This Row],[region]],"-")</f>
        <v>NA</v>
      </c>
      <c r="L424" s="8" t="str">
        <f>_xlfn.TEXTAFTER(tbl_SaaS_Audit[[#This Row],[region]],"-")</f>
        <v>WEST</v>
      </c>
      <c r="M424" s="8">
        <f t="shared" si="6"/>
        <v>21</v>
      </c>
      <c r="N424" s="4">
        <f>tbl_SaaS_Audit[[#This Row],[Tenure_Months]]*tbl_SaaS_Audit[[#This Row],[Monthly_Revenue]]</f>
        <v>181531.35</v>
      </c>
      <c r="O424" s="3" t="str" cm="1">
        <f t="array" ref="O42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24" s="4" cm="1">
        <f t="array" ref="P424">_xlfn.IFS(tbl_SaaS_Audit[[#This Row],[Risk_Level]]="CRITICAL RISK",tbl_SaaS_Audit[[#This Row],[Monthly_Revenue]]*12,TRUE,0)</f>
        <v>103732.20000000001</v>
      </c>
    </row>
    <row r="425" spans="1:16">
      <c r="A425" s="1">
        <v>424</v>
      </c>
      <c r="B425" s="1" t="s">
        <v>214</v>
      </c>
      <c r="C425" s="1" t="s">
        <v>15</v>
      </c>
      <c r="D425" s="2">
        <v>45379</v>
      </c>
      <c r="E425" s="1" t="s">
        <v>39</v>
      </c>
      <c r="F425" s="4">
        <v>8298.31</v>
      </c>
      <c r="G425" s="1" t="s">
        <v>42</v>
      </c>
      <c r="H425" s="2">
        <v>45901</v>
      </c>
      <c r="I425" s="1">
        <v>2</v>
      </c>
      <c r="J425" s="1" t="s">
        <v>37</v>
      </c>
      <c r="K425" s="1" t="str">
        <f>_xlfn.TEXTBEFORE(tbl_SaaS_Audit[[#This Row],[region]],"-")</f>
        <v>MEA</v>
      </c>
      <c r="L425" s="8" t="str">
        <f>_xlfn.TEXTAFTER(tbl_SaaS_Audit[[#This Row],[region]],"-")</f>
        <v>EGY</v>
      </c>
      <c r="M425" s="8">
        <f t="shared" si="6"/>
        <v>30</v>
      </c>
      <c r="N425" s="4">
        <f>tbl_SaaS_Audit[[#This Row],[Tenure_Months]]*tbl_SaaS_Audit[[#This Row],[Monthly_Revenue]]</f>
        <v>248949.3</v>
      </c>
      <c r="O425" s="3" t="str" cm="1">
        <f t="array" ref="O42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25" s="4" cm="1">
        <f t="array" ref="P425">_xlfn.IFS(tbl_SaaS_Audit[[#This Row],[Risk_Level]]="CRITICAL RISK",tbl_SaaS_Audit[[#This Row],[Monthly_Revenue]]*12,TRUE,0)</f>
        <v>0</v>
      </c>
    </row>
    <row r="426" spans="1:16">
      <c r="A426" s="1">
        <v>425</v>
      </c>
      <c r="B426" s="1" t="s">
        <v>94</v>
      </c>
      <c r="C426" s="1" t="s">
        <v>12</v>
      </c>
      <c r="D426" s="2">
        <v>45797</v>
      </c>
      <c r="E426" s="1" t="s">
        <v>39</v>
      </c>
      <c r="F426" s="4">
        <v>10614.31</v>
      </c>
      <c r="G426" s="1" t="s">
        <v>49</v>
      </c>
      <c r="H426" s="2">
        <v>46180</v>
      </c>
      <c r="I426" s="1">
        <v>12</v>
      </c>
      <c r="J426" s="1" t="s">
        <v>45</v>
      </c>
      <c r="K426" s="1" t="str">
        <f>_xlfn.TEXTBEFORE(tbl_SaaS_Audit[[#This Row],[region]],"-")</f>
        <v>EU</v>
      </c>
      <c r="L426" s="8" t="str">
        <f>_xlfn.TEXTAFTER(tbl_SaaS_Audit[[#This Row],[region]],"-")</f>
        <v>CENTRAL</v>
      </c>
      <c r="M426" s="8">
        <f t="shared" si="6"/>
        <v>16</v>
      </c>
      <c r="N426" s="4">
        <f>tbl_SaaS_Audit[[#This Row],[Tenure_Months]]*tbl_SaaS_Audit[[#This Row],[Monthly_Revenue]]</f>
        <v>169828.96</v>
      </c>
      <c r="O426" s="3" t="str" cm="1">
        <f t="array" ref="O42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26" s="4" cm="1">
        <f t="array" ref="P426">_xlfn.IFS(tbl_SaaS_Audit[[#This Row],[Risk_Level]]="CRITICAL RISK",tbl_SaaS_Audit[[#This Row],[Monthly_Revenue]]*12,TRUE,0)</f>
        <v>0</v>
      </c>
    </row>
    <row r="427" spans="1:16">
      <c r="A427" s="1">
        <v>426</v>
      </c>
      <c r="B427" s="1" t="s">
        <v>115</v>
      </c>
      <c r="C427" s="1" t="s">
        <v>13</v>
      </c>
      <c r="D427" s="2">
        <v>45612</v>
      </c>
      <c r="E427" s="1" t="s">
        <v>32</v>
      </c>
      <c r="F427" s="4">
        <v>4063.89</v>
      </c>
      <c r="G427" s="1" t="s">
        <v>49</v>
      </c>
      <c r="H427" s="2">
        <v>46094</v>
      </c>
      <c r="I427" s="1">
        <v>3</v>
      </c>
      <c r="J427" s="1" t="s">
        <v>45</v>
      </c>
      <c r="K427" s="1" t="str">
        <f>_xlfn.TEXTBEFORE(tbl_SaaS_Audit[[#This Row],[region]],"-")</f>
        <v>EU</v>
      </c>
      <c r="L427" s="8" t="str">
        <f>_xlfn.TEXTAFTER(tbl_SaaS_Audit[[#This Row],[region]],"-")</f>
        <v>CENTRAL</v>
      </c>
      <c r="M427" s="8">
        <f t="shared" si="6"/>
        <v>22</v>
      </c>
      <c r="N427" s="4">
        <f>tbl_SaaS_Audit[[#This Row],[Tenure_Months]]*tbl_SaaS_Audit[[#This Row],[Monthly_Revenue]]</f>
        <v>89405.58</v>
      </c>
      <c r="O427" s="3" t="str" cm="1">
        <f t="array" ref="O42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27" s="4" cm="1">
        <f t="array" ref="P427">_xlfn.IFS(tbl_SaaS_Audit[[#This Row],[Risk_Level]]="CRITICAL RISK",tbl_SaaS_Audit[[#This Row],[Monthly_Revenue]]*12,TRUE,0)</f>
        <v>0</v>
      </c>
    </row>
    <row r="428" spans="1:16">
      <c r="A428" s="1">
        <v>427</v>
      </c>
      <c r="B428" s="1" t="s">
        <v>221</v>
      </c>
      <c r="C428" s="1" t="s">
        <v>15</v>
      </c>
      <c r="D428" s="2">
        <v>45814</v>
      </c>
      <c r="E428" s="1" t="s">
        <v>39</v>
      </c>
      <c r="F428" s="4">
        <v>1537.47</v>
      </c>
      <c r="G428" s="1" t="s">
        <v>49</v>
      </c>
      <c r="H428" s="2">
        <v>46212</v>
      </c>
      <c r="I428" s="1">
        <v>10</v>
      </c>
      <c r="J428" s="1" t="s">
        <v>34</v>
      </c>
      <c r="K428" s="1" t="str">
        <f>_xlfn.TEXTBEFORE(tbl_SaaS_Audit[[#This Row],[region]],"-")</f>
        <v>APAC</v>
      </c>
      <c r="L428" s="8" t="str">
        <f>_xlfn.TEXTAFTER(tbl_SaaS_Audit[[#This Row],[region]],"-")</f>
        <v>SGP</v>
      </c>
      <c r="M428" s="8">
        <f t="shared" si="6"/>
        <v>15</v>
      </c>
      <c r="N428" s="4">
        <f>tbl_SaaS_Audit[[#This Row],[Tenure_Months]]*tbl_SaaS_Audit[[#This Row],[Monthly_Revenue]]</f>
        <v>23062.05</v>
      </c>
      <c r="O428" s="3" t="str" cm="1">
        <f t="array" ref="O42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28" s="4" cm="1">
        <f t="array" ref="P428">_xlfn.IFS(tbl_SaaS_Audit[[#This Row],[Risk_Level]]="CRITICAL RISK",tbl_SaaS_Audit[[#This Row],[Monthly_Revenue]]*12,TRUE,0)</f>
        <v>0</v>
      </c>
    </row>
    <row r="429" spans="1:16">
      <c r="A429" s="1">
        <v>428</v>
      </c>
      <c r="B429" s="1" t="s">
        <v>80</v>
      </c>
      <c r="C429" s="1" t="s">
        <v>14</v>
      </c>
      <c r="D429" s="2">
        <v>45769</v>
      </c>
      <c r="E429" s="1" t="s">
        <v>32</v>
      </c>
      <c r="F429" s="4">
        <v>9987.77</v>
      </c>
      <c r="G429" s="1" t="s">
        <v>33</v>
      </c>
      <c r="H429" s="2">
        <v>46127</v>
      </c>
      <c r="I429" s="1">
        <v>0</v>
      </c>
      <c r="J429" s="1" t="s">
        <v>45</v>
      </c>
      <c r="K429" s="1" t="str">
        <f>_xlfn.TEXTBEFORE(tbl_SaaS_Audit[[#This Row],[region]],"-")</f>
        <v>EU</v>
      </c>
      <c r="L429" s="8" t="str">
        <f>_xlfn.TEXTAFTER(tbl_SaaS_Audit[[#This Row],[region]],"-")</f>
        <v>CENTRAL</v>
      </c>
      <c r="M429" s="8">
        <f t="shared" si="6"/>
        <v>12</v>
      </c>
      <c r="N429" s="4">
        <f>tbl_SaaS_Audit[[#This Row],[Tenure_Months]]*tbl_SaaS_Audit[[#This Row],[Monthly_Revenue]]</f>
        <v>119853.24</v>
      </c>
      <c r="O429" s="3" t="str" cm="1">
        <f t="array" ref="O42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29" s="4" cm="1">
        <f t="array" ref="P429">_xlfn.IFS(tbl_SaaS_Audit[[#This Row],[Risk_Level]]="CRITICAL RISK",tbl_SaaS_Audit[[#This Row],[Monthly_Revenue]]*12,TRUE,0)</f>
        <v>0</v>
      </c>
    </row>
    <row r="430" spans="1:16">
      <c r="A430" s="1">
        <v>429</v>
      </c>
      <c r="B430" s="1" t="s">
        <v>173</v>
      </c>
      <c r="C430" s="1" t="s">
        <v>11</v>
      </c>
      <c r="D430" s="2">
        <v>45576</v>
      </c>
      <c r="E430" s="1" t="s">
        <v>39</v>
      </c>
      <c r="F430" s="4">
        <v>14763.79</v>
      </c>
      <c r="G430" s="1" t="s">
        <v>42</v>
      </c>
      <c r="H430" s="2">
        <v>46194</v>
      </c>
      <c r="I430" s="1">
        <v>13</v>
      </c>
      <c r="J430" s="1" t="s">
        <v>37</v>
      </c>
      <c r="K430" s="1" t="str">
        <f>_xlfn.TEXTBEFORE(tbl_SaaS_Audit[[#This Row],[region]],"-")</f>
        <v>MEA</v>
      </c>
      <c r="L430" s="8" t="str">
        <f>_xlfn.TEXTAFTER(tbl_SaaS_Audit[[#This Row],[region]],"-")</f>
        <v>EGY</v>
      </c>
      <c r="M430" s="8">
        <f t="shared" si="6"/>
        <v>23</v>
      </c>
      <c r="N430" s="4">
        <f>tbl_SaaS_Audit[[#This Row],[Tenure_Months]]*tbl_SaaS_Audit[[#This Row],[Monthly_Revenue]]</f>
        <v>339567.17000000004</v>
      </c>
      <c r="O430" s="3" t="str" cm="1">
        <f t="array" ref="O43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30" s="4" cm="1">
        <f t="array" ref="P430">_xlfn.IFS(tbl_SaaS_Audit[[#This Row],[Risk_Level]]="CRITICAL RISK",tbl_SaaS_Audit[[#This Row],[Monthly_Revenue]]*12,TRUE,0)</f>
        <v>177165.48</v>
      </c>
    </row>
    <row r="431" spans="1:16">
      <c r="A431" s="1">
        <v>430</v>
      </c>
      <c r="B431" s="1" t="s">
        <v>85</v>
      </c>
      <c r="C431" s="1" t="s">
        <v>12</v>
      </c>
      <c r="D431" s="2">
        <v>45446</v>
      </c>
      <c r="E431" s="1" t="s">
        <v>39</v>
      </c>
      <c r="F431" s="4">
        <v>7930.3</v>
      </c>
      <c r="G431" s="1" t="s">
        <v>36</v>
      </c>
      <c r="H431" s="2">
        <v>45921</v>
      </c>
      <c r="I431" s="1">
        <v>0</v>
      </c>
      <c r="J431" s="1" t="s">
        <v>47</v>
      </c>
      <c r="K431" s="1" t="str">
        <f>_xlfn.TEXTBEFORE(tbl_SaaS_Audit[[#This Row],[region]],"-")</f>
        <v>NA</v>
      </c>
      <c r="L431" s="8" t="str">
        <f>_xlfn.TEXTAFTER(tbl_SaaS_Audit[[#This Row],[region]],"-")</f>
        <v>WEST</v>
      </c>
      <c r="M431" s="8">
        <f t="shared" si="6"/>
        <v>27</v>
      </c>
      <c r="N431" s="4">
        <f>tbl_SaaS_Audit[[#This Row],[Tenure_Months]]*tbl_SaaS_Audit[[#This Row],[Monthly_Revenue]]</f>
        <v>214118.1</v>
      </c>
      <c r="O431" s="3" t="str" cm="1">
        <f t="array" ref="O43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31" s="4" cm="1">
        <f t="array" ref="P431">_xlfn.IFS(tbl_SaaS_Audit[[#This Row],[Risk_Level]]="CRITICAL RISK",tbl_SaaS_Audit[[#This Row],[Monthly_Revenue]]*12,TRUE,0)</f>
        <v>0</v>
      </c>
    </row>
    <row r="432" spans="1:16">
      <c r="A432" s="1">
        <v>431</v>
      </c>
      <c r="B432" s="1" t="s">
        <v>67</v>
      </c>
      <c r="C432" s="1" t="s">
        <v>14</v>
      </c>
      <c r="D432" s="2">
        <v>45577</v>
      </c>
      <c r="E432" s="1" t="s">
        <v>32</v>
      </c>
      <c r="F432" s="4">
        <v>8326.49</v>
      </c>
      <c r="G432" s="1" t="s">
        <v>42</v>
      </c>
      <c r="H432" s="1"/>
      <c r="I432" s="1">
        <v>17</v>
      </c>
      <c r="J432" s="1" t="s">
        <v>37</v>
      </c>
      <c r="K432" s="1" t="str">
        <f>_xlfn.TEXTBEFORE(tbl_SaaS_Audit[[#This Row],[region]],"-")</f>
        <v>MEA</v>
      </c>
      <c r="L432" s="8" t="str">
        <f>_xlfn.TEXTAFTER(tbl_SaaS_Audit[[#This Row],[region]],"-")</f>
        <v>EGY</v>
      </c>
      <c r="M432" s="8">
        <f t="shared" si="6"/>
        <v>23</v>
      </c>
      <c r="N432" s="4">
        <f>tbl_SaaS_Audit[[#This Row],[Tenure_Months]]*tbl_SaaS_Audit[[#This Row],[Monthly_Revenue]]</f>
        <v>191509.27</v>
      </c>
      <c r="O432" s="3" t="str" cm="1">
        <f t="array" ref="O43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32" s="4" cm="1">
        <f t="array" ref="P432">_xlfn.IFS(tbl_SaaS_Audit[[#This Row],[Risk_Level]]="CRITICAL RISK",tbl_SaaS_Audit[[#This Row],[Monthly_Revenue]]*12,TRUE,0)</f>
        <v>99917.88</v>
      </c>
    </row>
    <row r="433" spans="1:16">
      <c r="A433" s="1">
        <v>432</v>
      </c>
      <c r="B433" s="1" t="s">
        <v>290</v>
      </c>
      <c r="C433" s="1" t="s">
        <v>14</v>
      </c>
      <c r="D433" s="2">
        <v>45518</v>
      </c>
      <c r="E433" s="1" t="s">
        <v>39</v>
      </c>
      <c r="F433" s="4">
        <v>10003.209999999999</v>
      </c>
      <c r="G433" s="1" t="s">
        <v>36</v>
      </c>
      <c r="H433" s="2">
        <v>45907</v>
      </c>
      <c r="I433" s="1">
        <v>12</v>
      </c>
      <c r="J433" s="1" t="s">
        <v>45</v>
      </c>
      <c r="K433" s="1" t="str">
        <f>_xlfn.TEXTBEFORE(tbl_SaaS_Audit[[#This Row],[region]],"-")</f>
        <v>EU</v>
      </c>
      <c r="L433" s="8" t="str">
        <f>_xlfn.TEXTAFTER(tbl_SaaS_Audit[[#This Row],[region]],"-")</f>
        <v>CENTRAL</v>
      </c>
      <c r="M433" s="8">
        <f t="shared" si="6"/>
        <v>25</v>
      </c>
      <c r="N433" s="4">
        <f>tbl_SaaS_Audit[[#This Row],[Tenure_Months]]*tbl_SaaS_Audit[[#This Row],[Monthly_Revenue]]</f>
        <v>250080.24999999997</v>
      </c>
      <c r="O433" s="3" t="str" cm="1">
        <f t="array" ref="O43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33" s="4" cm="1">
        <f t="array" ref="P433">_xlfn.IFS(tbl_SaaS_Audit[[#This Row],[Risk_Level]]="CRITICAL RISK",tbl_SaaS_Audit[[#This Row],[Monthly_Revenue]]*12,TRUE,0)</f>
        <v>0</v>
      </c>
    </row>
    <row r="434" spans="1:16">
      <c r="A434" s="1">
        <v>433</v>
      </c>
      <c r="B434" s="1" t="s">
        <v>145</v>
      </c>
      <c r="C434" s="1" t="s">
        <v>11</v>
      </c>
      <c r="D434" s="2">
        <v>45686</v>
      </c>
      <c r="E434" s="1" t="s">
        <v>41</v>
      </c>
      <c r="F434" s="4">
        <v>2765.35</v>
      </c>
      <c r="G434" s="1" t="s">
        <v>36</v>
      </c>
      <c r="H434" s="1"/>
      <c r="I434" s="1">
        <v>3</v>
      </c>
      <c r="J434" s="1" t="s">
        <v>34</v>
      </c>
      <c r="K434" s="1" t="str">
        <f>_xlfn.TEXTBEFORE(tbl_SaaS_Audit[[#This Row],[region]],"-")</f>
        <v>APAC</v>
      </c>
      <c r="L434" s="8" t="str">
        <f>_xlfn.TEXTAFTER(tbl_SaaS_Audit[[#This Row],[region]],"-")</f>
        <v>SGP</v>
      </c>
      <c r="M434" s="8">
        <f t="shared" si="6"/>
        <v>20</v>
      </c>
      <c r="N434" s="4">
        <f>tbl_SaaS_Audit[[#This Row],[Tenure_Months]]*tbl_SaaS_Audit[[#This Row],[Monthly_Revenue]]</f>
        <v>55307</v>
      </c>
      <c r="O434" s="3" t="str" cm="1">
        <f t="array" ref="O43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34" s="4" cm="1">
        <f t="array" ref="P434">_xlfn.IFS(tbl_SaaS_Audit[[#This Row],[Risk_Level]]="CRITICAL RISK",tbl_SaaS_Audit[[#This Row],[Monthly_Revenue]]*12,TRUE,0)</f>
        <v>0</v>
      </c>
    </row>
    <row r="435" spans="1:16">
      <c r="A435" s="1">
        <v>434</v>
      </c>
      <c r="B435" s="1" t="s">
        <v>77</v>
      </c>
      <c r="C435" s="1" t="s">
        <v>11</v>
      </c>
      <c r="D435" s="2">
        <v>45783</v>
      </c>
      <c r="E435" s="1" t="s">
        <v>41</v>
      </c>
      <c r="F435" s="4">
        <v>8382.82</v>
      </c>
      <c r="G435" s="1" t="s">
        <v>33</v>
      </c>
      <c r="H435" s="2">
        <v>46114</v>
      </c>
      <c r="I435" s="1">
        <v>11</v>
      </c>
      <c r="J435" s="1" t="s">
        <v>47</v>
      </c>
      <c r="K435" s="1" t="str">
        <f>_xlfn.TEXTBEFORE(tbl_SaaS_Audit[[#This Row],[region]],"-")</f>
        <v>NA</v>
      </c>
      <c r="L435" s="8" t="str">
        <f>_xlfn.TEXTAFTER(tbl_SaaS_Audit[[#This Row],[region]],"-")</f>
        <v>WEST</v>
      </c>
      <c r="M435" s="8">
        <f t="shared" si="6"/>
        <v>11</v>
      </c>
      <c r="N435" s="4">
        <f>tbl_SaaS_Audit[[#This Row],[Tenure_Months]]*tbl_SaaS_Audit[[#This Row],[Monthly_Revenue]]</f>
        <v>92211.01999999999</v>
      </c>
      <c r="O435" s="3" t="str" cm="1">
        <f t="array" ref="O43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35" s="4" cm="1">
        <f t="array" ref="P435">_xlfn.IFS(tbl_SaaS_Audit[[#This Row],[Risk_Level]]="CRITICAL RISK",tbl_SaaS_Audit[[#This Row],[Monthly_Revenue]]*12,TRUE,0)</f>
        <v>0</v>
      </c>
    </row>
    <row r="436" spans="1:16">
      <c r="A436" s="1">
        <v>435</v>
      </c>
      <c r="B436" s="1" t="s">
        <v>274</v>
      </c>
      <c r="C436" s="1" t="s">
        <v>13</v>
      </c>
      <c r="D436" s="2">
        <v>45461</v>
      </c>
      <c r="E436" s="1" t="s">
        <v>39</v>
      </c>
      <c r="F436" s="4">
        <v>8557.7099999999991</v>
      </c>
      <c r="G436" s="1" t="s">
        <v>42</v>
      </c>
      <c r="H436" s="2">
        <v>46044</v>
      </c>
      <c r="I436" s="1">
        <v>5</v>
      </c>
      <c r="J436" s="1" t="s">
        <v>34</v>
      </c>
      <c r="K436" s="1" t="str">
        <f>_xlfn.TEXTBEFORE(tbl_SaaS_Audit[[#This Row],[region]],"-")</f>
        <v>APAC</v>
      </c>
      <c r="L436" s="8" t="str">
        <f>_xlfn.TEXTAFTER(tbl_SaaS_Audit[[#This Row],[region]],"-")</f>
        <v>SGP</v>
      </c>
      <c r="M436" s="8">
        <f t="shared" si="6"/>
        <v>27</v>
      </c>
      <c r="N436" s="4">
        <f>tbl_SaaS_Audit[[#This Row],[Tenure_Months]]*tbl_SaaS_Audit[[#This Row],[Monthly_Revenue]]</f>
        <v>231058.16999999998</v>
      </c>
      <c r="O436" s="3" t="str" cm="1">
        <f t="array" ref="O43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36" s="4" cm="1">
        <f t="array" ref="P436">_xlfn.IFS(tbl_SaaS_Audit[[#This Row],[Risk_Level]]="CRITICAL RISK",tbl_SaaS_Audit[[#This Row],[Monthly_Revenue]]*12,TRUE,0)</f>
        <v>0</v>
      </c>
    </row>
    <row r="437" spans="1:16">
      <c r="A437" s="1">
        <v>436</v>
      </c>
      <c r="B437" s="1" t="s">
        <v>255</v>
      </c>
      <c r="C437" s="1" t="s">
        <v>13</v>
      </c>
      <c r="D437" s="2">
        <v>45517</v>
      </c>
      <c r="E437" s="1" t="s">
        <v>39</v>
      </c>
      <c r="F437" s="4">
        <v>10113.66</v>
      </c>
      <c r="G437" s="1" t="s">
        <v>33</v>
      </c>
      <c r="H437" s="1"/>
      <c r="I437" s="1">
        <v>7</v>
      </c>
      <c r="J437" s="1" t="s">
        <v>37</v>
      </c>
      <c r="K437" s="1" t="str">
        <f>_xlfn.TEXTBEFORE(tbl_SaaS_Audit[[#This Row],[region]],"-")</f>
        <v>MEA</v>
      </c>
      <c r="L437" s="8" t="str">
        <f>_xlfn.TEXTAFTER(tbl_SaaS_Audit[[#This Row],[region]],"-")</f>
        <v>EGY</v>
      </c>
      <c r="M437" s="8">
        <f t="shared" si="6"/>
        <v>25</v>
      </c>
      <c r="N437" s="4">
        <f>tbl_SaaS_Audit[[#This Row],[Tenure_Months]]*tbl_SaaS_Audit[[#This Row],[Monthly_Revenue]]</f>
        <v>252841.5</v>
      </c>
      <c r="O437" s="3" t="str" cm="1">
        <f t="array" ref="O43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37" s="4" cm="1">
        <f t="array" ref="P437">_xlfn.IFS(tbl_SaaS_Audit[[#This Row],[Risk_Level]]="CRITICAL RISK",tbl_SaaS_Audit[[#This Row],[Monthly_Revenue]]*12,TRUE,0)</f>
        <v>0</v>
      </c>
    </row>
    <row r="438" spans="1:16">
      <c r="A438" s="1">
        <v>437</v>
      </c>
      <c r="B438" s="1" t="s">
        <v>80</v>
      </c>
      <c r="C438" s="1" t="s">
        <v>14</v>
      </c>
      <c r="D438" s="2">
        <v>45589</v>
      </c>
      <c r="E438" s="1" t="s">
        <v>32</v>
      </c>
      <c r="F438" s="4">
        <v>1609.29</v>
      </c>
      <c r="G438" s="1" t="s">
        <v>36</v>
      </c>
      <c r="H438" s="2">
        <v>46105</v>
      </c>
      <c r="I438" s="1">
        <v>16</v>
      </c>
      <c r="J438" s="1" t="s">
        <v>45</v>
      </c>
      <c r="K438" s="1" t="str">
        <f>_xlfn.TEXTBEFORE(tbl_SaaS_Audit[[#This Row],[region]],"-")</f>
        <v>EU</v>
      </c>
      <c r="L438" s="8" t="str">
        <f>_xlfn.TEXTAFTER(tbl_SaaS_Audit[[#This Row],[region]],"-")</f>
        <v>CENTRAL</v>
      </c>
      <c r="M438" s="8">
        <f t="shared" si="6"/>
        <v>23</v>
      </c>
      <c r="N438" s="4">
        <f>tbl_SaaS_Audit[[#This Row],[Tenure_Months]]*tbl_SaaS_Audit[[#This Row],[Monthly_Revenue]]</f>
        <v>37013.67</v>
      </c>
      <c r="O438" s="3" t="str" cm="1">
        <f t="array" ref="O43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38" s="4" cm="1">
        <f t="array" ref="P438">_xlfn.IFS(tbl_SaaS_Audit[[#This Row],[Risk_Level]]="CRITICAL RISK",tbl_SaaS_Audit[[#This Row],[Monthly_Revenue]]*12,TRUE,0)</f>
        <v>0</v>
      </c>
    </row>
    <row r="439" spans="1:16">
      <c r="A439" s="1">
        <v>438</v>
      </c>
      <c r="B439" s="1" t="s">
        <v>69</v>
      </c>
      <c r="C439" s="1" t="s">
        <v>11</v>
      </c>
      <c r="D439" s="2">
        <v>45807</v>
      </c>
      <c r="E439" s="1" t="s">
        <v>39</v>
      </c>
      <c r="F439" s="4">
        <v>4242.16</v>
      </c>
      <c r="G439" s="1" t="s">
        <v>33</v>
      </c>
      <c r="H439" s="2">
        <v>46189</v>
      </c>
      <c r="I439" s="1">
        <v>3</v>
      </c>
      <c r="J439" s="1" t="s">
        <v>47</v>
      </c>
      <c r="K439" s="1" t="str">
        <f>_xlfn.TEXTBEFORE(tbl_SaaS_Audit[[#This Row],[region]],"-")</f>
        <v>NA</v>
      </c>
      <c r="L439" s="8" t="str">
        <f>_xlfn.TEXTAFTER(tbl_SaaS_Audit[[#This Row],[region]],"-")</f>
        <v>WEST</v>
      </c>
      <c r="M439" s="8">
        <f t="shared" si="6"/>
        <v>13</v>
      </c>
      <c r="N439" s="4">
        <f>tbl_SaaS_Audit[[#This Row],[Tenure_Months]]*tbl_SaaS_Audit[[#This Row],[Monthly_Revenue]]</f>
        <v>55148.08</v>
      </c>
      <c r="O439" s="3" t="str" cm="1">
        <f t="array" ref="O43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39" s="4" cm="1">
        <f t="array" ref="P439">_xlfn.IFS(tbl_SaaS_Audit[[#This Row],[Risk_Level]]="CRITICAL RISK",tbl_SaaS_Audit[[#This Row],[Monthly_Revenue]]*12,TRUE,0)</f>
        <v>0</v>
      </c>
    </row>
    <row r="440" spans="1:16">
      <c r="A440" s="1">
        <v>439</v>
      </c>
      <c r="B440" s="1" t="s">
        <v>122</v>
      </c>
      <c r="C440" s="1" t="s">
        <v>11</v>
      </c>
      <c r="D440" s="2">
        <v>45687</v>
      </c>
      <c r="E440" s="1" t="s">
        <v>32</v>
      </c>
      <c r="F440" s="4">
        <v>8623.7199999999993</v>
      </c>
      <c r="G440" s="1" t="s">
        <v>42</v>
      </c>
      <c r="H440" s="2">
        <v>46040</v>
      </c>
      <c r="I440" s="1">
        <v>8</v>
      </c>
      <c r="J440" s="1" t="s">
        <v>51</v>
      </c>
      <c r="K440" s="1" t="str">
        <f>_xlfn.TEXTBEFORE(tbl_SaaS_Audit[[#This Row],[region]],"-")</f>
        <v>NA</v>
      </c>
      <c r="L440" s="8" t="str">
        <f>_xlfn.TEXTAFTER(tbl_SaaS_Audit[[#This Row],[region]],"-")</f>
        <v>EAST</v>
      </c>
      <c r="M440" s="8">
        <f t="shared" si="6"/>
        <v>20</v>
      </c>
      <c r="N440" s="4">
        <f>tbl_SaaS_Audit[[#This Row],[Tenure_Months]]*tbl_SaaS_Audit[[#This Row],[Monthly_Revenue]]</f>
        <v>172474.4</v>
      </c>
      <c r="O440" s="3" t="str" cm="1">
        <f t="array" ref="O44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40" s="4" cm="1">
        <f t="array" ref="P440">_xlfn.IFS(tbl_SaaS_Audit[[#This Row],[Risk_Level]]="CRITICAL RISK",tbl_SaaS_Audit[[#This Row],[Monthly_Revenue]]*12,TRUE,0)</f>
        <v>0</v>
      </c>
    </row>
    <row r="441" spans="1:16">
      <c r="A441" s="1">
        <v>440</v>
      </c>
      <c r="B441" s="1" t="s">
        <v>160</v>
      </c>
      <c r="C441" s="1" t="s">
        <v>13</v>
      </c>
      <c r="D441" s="2">
        <v>45510</v>
      </c>
      <c r="E441" s="1" t="s">
        <v>41</v>
      </c>
      <c r="F441" s="4">
        <v>12446.63</v>
      </c>
      <c r="G441" s="1" t="s">
        <v>36</v>
      </c>
      <c r="H441" s="2">
        <v>46085</v>
      </c>
      <c r="I441" s="1">
        <v>15</v>
      </c>
      <c r="J441" s="1" t="s">
        <v>37</v>
      </c>
      <c r="K441" s="1" t="str">
        <f>_xlfn.TEXTBEFORE(tbl_SaaS_Audit[[#This Row],[region]],"-")</f>
        <v>MEA</v>
      </c>
      <c r="L441" s="8" t="str">
        <f>_xlfn.TEXTAFTER(tbl_SaaS_Audit[[#This Row],[region]],"-")</f>
        <v>EGY</v>
      </c>
      <c r="M441" s="8">
        <f t="shared" si="6"/>
        <v>25</v>
      </c>
      <c r="N441" s="4">
        <f>tbl_SaaS_Audit[[#This Row],[Tenure_Months]]*tbl_SaaS_Audit[[#This Row],[Monthly_Revenue]]</f>
        <v>311165.75</v>
      </c>
      <c r="O441" s="3" t="str" cm="1">
        <f t="array" ref="O44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41" s="4" cm="1">
        <f t="array" ref="P441">_xlfn.IFS(tbl_SaaS_Audit[[#This Row],[Risk_Level]]="CRITICAL RISK",tbl_SaaS_Audit[[#This Row],[Monthly_Revenue]]*12,TRUE,0)</f>
        <v>0</v>
      </c>
    </row>
    <row r="442" spans="1:16">
      <c r="A442" s="1">
        <v>441</v>
      </c>
      <c r="B442" s="1" t="s">
        <v>31</v>
      </c>
      <c r="C442" s="1" t="s">
        <v>14</v>
      </c>
      <c r="D442" s="2">
        <v>45428</v>
      </c>
      <c r="E442" s="1" t="s">
        <v>32</v>
      </c>
      <c r="F442" s="4">
        <v>6082.05</v>
      </c>
      <c r="G442" s="1" t="s">
        <v>42</v>
      </c>
      <c r="H442" s="2">
        <v>46229</v>
      </c>
      <c r="I442" s="1">
        <v>14</v>
      </c>
      <c r="J442" s="1" t="s">
        <v>47</v>
      </c>
      <c r="K442" s="1" t="str">
        <f>_xlfn.TEXTBEFORE(tbl_SaaS_Audit[[#This Row],[region]],"-")</f>
        <v>NA</v>
      </c>
      <c r="L442" s="8" t="str">
        <f>_xlfn.TEXTAFTER(tbl_SaaS_Audit[[#This Row],[region]],"-")</f>
        <v>WEST</v>
      </c>
      <c r="M442" s="8">
        <f t="shared" si="6"/>
        <v>28</v>
      </c>
      <c r="N442" s="4">
        <f>tbl_SaaS_Audit[[#This Row],[Tenure_Months]]*tbl_SaaS_Audit[[#This Row],[Monthly_Revenue]]</f>
        <v>170297.4</v>
      </c>
      <c r="O442" s="3" t="str" cm="1">
        <f t="array" ref="O44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42" s="4" cm="1">
        <f t="array" ref="P442">_xlfn.IFS(tbl_SaaS_Audit[[#This Row],[Risk_Level]]="CRITICAL RISK",tbl_SaaS_Audit[[#This Row],[Monthly_Revenue]]*12,TRUE,0)</f>
        <v>72984.600000000006</v>
      </c>
    </row>
    <row r="443" spans="1:16">
      <c r="A443" s="1">
        <v>442</v>
      </c>
      <c r="B443" s="1" t="s">
        <v>291</v>
      </c>
      <c r="C443" s="1" t="s">
        <v>14</v>
      </c>
      <c r="D443" s="2">
        <v>45795</v>
      </c>
      <c r="E443" s="1" t="s">
        <v>41</v>
      </c>
      <c r="F443" s="4">
        <v>5867.03</v>
      </c>
      <c r="G443" s="1" t="s">
        <v>33</v>
      </c>
      <c r="H443" s="2">
        <v>45990</v>
      </c>
      <c r="I443" s="1">
        <v>9</v>
      </c>
      <c r="J443" s="1" t="s">
        <v>47</v>
      </c>
      <c r="K443" s="1" t="str">
        <f>_xlfn.TEXTBEFORE(tbl_SaaS_Audit[[#This Row],[region]],"-")</f>
        <v>NA</v>
      </c>
      <c r="L443" s="8" t="str">
        <f>_xlfn.TEXTAFTER(tbl_SaaS_Audit[[#This Row],[region]],"-")</f>
        <v>WEST</v>
      </c>
      <c r="M443" s="8">
        <f t="shared" si="6"/>
        <v>6</v>
      </c>
      <c r="N443" s="4">
        <f>tbl_SaaS_Audit[[#This Row],[Tenure_Months]]*tbl_SaaS_Audit[[#This Row],[Monthly_Revenue]]</f>
        <v>35202.18</v>
      </c>
      <c r="O443" s="3" t="str" cm="1">
        <f t="array" ref="O44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43" s="4" cm="1">
        <f t="array" ref="P443">_xlfn.IFS(tbl_SaaS_Audit[[#This Row],[Risk_Level]]="CRITICAL RISK",tbl_SaaS_Audit[[#This Row],[Monthly_Revenue]]*12,TRUE,0)</f>
        <v>0</v>
      </c>
    </row>
    <row r="444" spans="1:16">
      <c r="A444" s="1">
        <v>443</v>
      </c>
      <c r="B444" s="1" t="s">
        <v>292</v>
      </c>
      <c r="C444" s="1" t="s">
        <v>12</v>
      </c>
      <c r="D444" s="2">
        <v>45483</v>
      </c>
      <c r="E444" s="1" t="s">
        <v>41</v>
      </c>
      <c r="F444" s="4">
        <v>1030.46</v>
      </c>
      <c r="G444" s="1" t="s">
        <v>36</v>
      </c>
      <c r="H444" s="2">
        <v>46169</v>
      </c>
      <c r="I444" s="1">
        <v>2</v>
      </c>
      <c r="J444" s="1" t="s">
        <v>34</v>
      </c>
      <c r="K444" s="1" t="str">
        <f>_xlfn.TEXTBEFORE(tbl_SaaS_Audit[[#This Row],[region]],"-")</f>
        <v>APAC</v>
      </c>
      <c r="L444" s="8" t="str">
        <f>_xlfn.TEXTAFTER(tbl_SaaS_Audit[[#This Row],[region]],"-")</f>
        <v>SGP</v>
      </c>
      <c r="M444" s="8">
        <f t="shared" si="6"/>
        <v>26</v>
      </c>
      <c r="N444" s="4">
        <f>tbl_SaaS_Audit[[#This Row],[Tenure_Months]]*tbl_SaaS_Audit[[#This Row],[Monthly_Revenue]]</f>
        <v>26791.96</v>
      </c>
      <c r="O444" s="3" t="str" cm="1">
        <f t="array" ref="O44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44" s="4" cm="1">
        <f t="array" ref="P444">_xlfn.IFS(tbl_SaaS_Audit[[#This Row],[Risk_Level]]="CRITICAL RISK",tbl_SaaS_Audit[[#This Row],[Monthly_Revenue]]*12,TRUE,0)</f>
        <v>0</v>
      </c>
    </row>
    <row r="445" spans="1:16">
      <c r="A445" s="1">
        <v>444</v>
      </c>
      <c r="B445" s="1" t="s">
        <v>212</v>
      </c>
      <c r="C445" s="1" t="s">
        <v>14</v>
      </c>
      <c r="D445" s="2">
        <v>45547</v>
      </c>
      <c r="E445" s="1" t="s">
        <v>32</v>
      </c>
      <c r="F445" s="4">
        <v>1124.1099999999999</v>
      </c>
      <c r="G445" s="1" t="s">
        <v>42</v>
      </c>
      <c r="H445" s="1"/>
      <c r="I445" s="1">
        <v>14</v>
      </c>
      <c r="J445" s="1" t="s">
        <v>37</v>
      </c>
      <c r="K445" s="1" t="str">
        <f>_xlfn.TEXTBEFORE(tbl_SaaS_Audit[[#This Row],[region]],"-")</f>
        <v>MEA</v>
      </c>
      <c r="L445" s="8" t="str">
        <f>_xlfn.TEXTAFTER(tbl_SaaS_Audit[[#This Row],[region]],"-")</f>
        <v>EGY</v>
      </c>
      <c r="M445" s="8">
        <f t="shared" si="6"/>
        <v>24</v>
      </c>
      <c r="N445" s="4">
        <f>tbl_SaaS_Audit[[#This Row],[Tenure_Months]]*tbl_SaaS_Audit[[#This Row],[Monthly_Revenue]]</f>
        <v>26978.639999999999</v>
      </c>
      <c r="O445" s="3" t="str" cm="1">
        <f t="array" ref="O44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45" s="4" cm="1">
        <f t="array" ref="P445">_xlfn.IFS(tbl_SaaS_Audit[[#This Row],[Risk_Level]]="CRITICAL RISK",tbl_SaaS_Audit[[#This Row],[Monthly_Revenue]]*12,TRUE,0)</f>
        <v>13489.32</v>
      </c>
    </row>
    <row r="446" spans="1:16">
      <c r="A446" s="1">
        <v>445</v>
      </c>
      <c r="B446" s="1" t="s">
        <v>293</v>
      </c>
      <c r="C446" s="1" t="s">
        <v>11</v>
      </c>
      <c r="D446" s="2">
        <v>45451</v>
      </c>
      <c r="E446" s="1" t="s">
        <v>32</v>
      </c>
      <c r="F446" s="4">
        <v>5710.22</v>
      </c>
      <c r="G446" s="1" t="s">
        <v>42</v>
      </c>
      <c r="H446" s="2">
        <v>46223</v>
      </c>
      <c r="I446" s="1">
        <v>11</v>
      </c>
      <c r="J446" s="1" t="s">
        <v>45</v>
      </c>
      <c r="K446" s="1" t="str">
        <f>_xlfn.TEXTBEFORE(tbl_SaaS_Audit[[#This Row],[region]],"-")</f>
        <v>EU</v>
      </c>
      <c r="L446" s="8" t="str">
        <f>_xlfn.TEXTAFTER(tbl_SaaS_Audit[[#This Row],[region]],"-")</f>
        <v>CENTRAL</v>
      </c>
      <c r="M446" s="8">
        <f t="shared" si="6"/>
        <v>27</v>
      </c>
      <c r="N446" s="4">
        <f>tbl_SaaS_Audit[[#This Row],[Tenure_Months]]*tbl_SaaS_Audit[[#This Row],[Monthly_Revenue]]</f>
        <v>154175.94</v>
      </c>
      <c r="O446" s="3" t="str" cm="1">
        <f t="array" ref="O44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46" s="4" cm="1">
        <f t="array" ref="P446">_xlfn.IFS(tbl_SaaS_Audit[[#This Row],[Risk_Level]]="CRITICAL RISK",tbl_SaaS_Audit[[#This Row],[Monthly_Revenue]]*12,TRUE,0)</f>
        <v>68522.64</v>
      </c>
    </row>
    <row r="447" spans="1:16">
      <c r="A447" s="1">
        <v>446</v>
      </c>
      <c r="B447" s="1" t="s">
        <v>294</v>
      </c>
      <c r="C447" s="1" t="s">
        <v>12</v>
      </c>
      <c r="D447" s="2">
        <v>45413</v>
      </c>
      <c r="E447" s="1" t="s">
        <v>41</v>
      </c>
      <c r="F447" s="4">
        <v>970.19</v>
      </c>
      <c r="G447" s="1" t="s">
        <v>33</v>
      </c>
      <c r="H447" s="1"/>
      <c r="I447" s="1">
        <v>1</v>
      </c>
      <c r="J447" s="1" t="s">
        <v>51</v>
      </c>
      <c r="K447" s="1" t="str">
        <f>_xlfn.TEXTBEFORE(tbl_SaaS_Audit[[#This Row],[region]],"-")</f>
        <v>NA</v>
      </c>
      <c r="L447" s="8" t="str">
        <f>_xlfn.TEXTAFTER(tbl_SaaS_Audit[[#This Row],[region]],"-")</f>
        <v>EAST</v>
      </c>
      <c r="M447" s="8">
        <f t="shared" si="6"/>
        <v>28</v>
      </c>
      <c r="N447" s="4">
        <f>tbl_SaaS_Audit[[#This Row],[Tenure_Months]]*tbl_SaaS_Audit[[#This Row],[Monthly_Revenue]]</f>
        <v>27165.32</v>
      </c>
      <c r="O447" s="3" t="str" cm="1">
        <f t="array" ref="O44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47" s="4" cm="1">
        <f t="array" ref="P447">_xlfn.IFS(tbl_SaaS_Audit[[#This Row],[Risk_Level]]="CRITICAL RISK",tbl_SaaS_Audit[[#This Row],[Monthly_Revenue]]*12,TRUE,0)</f>
        <v>0</v>
      </c>
    </row>
    <row r="448" spans="1:16">
      <c r="A448" s="1">
        <v>447</v>
      </c>
      <c r="B448" s="1" t="s">
        <v>111</v>
      </c>
      <c r="C448" s="1" t="s">
        <v>15</v>
      </c>
      <c r="D448" s="2">
        <v>45492</v>
      </c>
      <c r="E448" s="1" t="s">
        <v>41</v>
      </c>
      <c r="F448" s="4">
        <v>5161.7299999999996</v>
      </c>
      <c r="G448" s="1" t="s">
        <v>33</v>
      </c>
      <c r="H448" s="2">
        <v>46253</v>
      </c>
      <c r="I448" s="1">
        <v>18</v>
      </c>
      <c r="J448" s="1" t="s">
        <v>37</v>
      </c>
      <c r="K448" s="1" t="str">
        <f>_xlfn.TEXTBEFORE(tbl_SaaS_Audit[[#This Row],[region]],"-")</f>
        <v>MEA</v>
      </c>
      <c r="L448" s="8" t="str">
        <f>_xlfn.TEXTAFTER(tbl_SaaS_Audit[[#This Row],[region]],"-")</f>
        <v>EGY</v>
      </c>
      <c r="M448" s="8">
        <f t="shared" si="6"/>
        <v>25</v>
      </c>
      <c r="N448" s="4">
        <f>tbl_SaaS_Audit[[#This Row],[Tenure_Months]]*tbl_SaaS_Audit[[#This Row],[Monthly_Revenue]]</f>
        <v>129043.24999999999</v>
      </c>
      <c r="O448" s="3" t="str" cm="1">
        <f t="array" ref="O44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48" s="4" cm="1">
        <f t="array" ref="P448">_xlfn.IFS(tbl_SaaS_Audit[[#This Row],[Risk_Level]]="CRITICAL RISK",tbl_SaaS_Audit[[#This Row],[Monthly_Revenue]]*12,TRUE,0)</f>
        <v>0</v>
      </c>
    </row>
    <row r="449" spans="1:16">
      <c r="A449" s="1">
        <v>448</v>
      </c>
      <c r="B449" s="1" t="s">
        <v>97</v>
      </c>
      <c r="C449" s="1" t="s">
        <v>12</v>
      </c>
      <c r="D449" s="2">
        <v>45767</v>
      </c>
      <c r="E449" s="1" t="s">
        <v>41</v>
      </c>
      <c r="F449" s="4">
        <v>1414.43</v>
      </c>
      <c r="G449" s="1" t="s">
        <v>42</v>
      </c>
      <c r="H449" s="2">
        <v>45998</v>
      </c>
      <c r="I449" s="1">
        <v>15</v>
      </c>
      <c r="J449" s="1" t="s">
        <v>37</v>
      </c>
      <c r="K449" s="1" t="str">
        <f>_xlfn.TEXTBEFORE(tbl_SaaS_Audit[[#This Row],[region]],"-")</f>
        <v>MEA</v>
      </c>
      <c r="L449" s="8" t="str">
        <f>_xlfn.TEXTAFTER(tbl_SaaS_Audit[[#This Row],[region]],"-")</f>
        <v>EGY</v>
      </c>
      <c r="M449" s="8">
        <f t="shared" si="6"/>
        <v>17</v>
      </c>
      <c r="N449" s="4">
        <f>tbl_SaaS_Audit[[#This Row],[Tenure_Months]]*tbl_SaaS_Audit[[#This Row],[Monthly_Revenue]]</f>
        <v>24045.31</v>
      </c>
      <c r="O449" s="3" t="str" cm="1">
        <f t="array" ref="O44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49" s="4" cm="1">
        <f t="array" ref="P449">_xlfn.IFS(tbl_SaaS_Audit[[#This Row],[Risk_Level]]="CRITICAL RISK",tbl_SaaS_Audit[[#This Row],[Monthly_Revenue]]*12,TRUE,0)</f>
        <v>16973.16</v>
      </c>
    </row>
    <row r="450" spans="1:16">
      <c r="A450" s="1">
        <v>449</v>
      </c>
      <c r="B450" s="1" t="s">
        <v>286</v>
      </c>
      <c r="C450" s="1" t="s">
        <v>11</v>
      </c>
      <c r="D450" s="2">
        <v>45718</v>
      </c>
      <c r="E450" s="1" t="s">
        <v>39</v>
      </c>
      <c r="F450" s="4">
        <v>8713.9599999999991</v>
      </c>
      <c r="G450" s="1" t="s">
        <v>42</v>
      </c>
      <c r="H450" s="2">
        <v>45996</v>
      </c>
      <c r="I450" s="1">
        <v>12</v>
      </c>
      <c r="J450" s="1" t="s">
        <v>37</v>
      </c>
      <c r="K450" s="1" t="str">
        <f>_xlfn.TEXTBEFORE(tbl_SaaS_Audit[[#This Row],[region]],"-")</f>
        <v>MEA</v>
      </c>
      <c r="L450" s="8" t="str">
        <f>_xlfn.TEXTAFTER(tbl_SaaS_Audit[[#This Row],[region]],"-")</f>
        <v>EGY</v>
      </c>
      <c r="M450" s="8">
        <f t="shared" ref="M450:M513" si="7">MAX(0, IF(AND(G450="Churned", ISNUMBER(H450)), (YEAR(H450)-YEAR(D450))*12 + (MONTH(H450)-MONTH(D450)), (YEAR(DATE(2026,9,1))-YEAR(D450))*12 + (MONTH(DATE(2026,9,1))-MONTH(D450))))</f>
        <v>18</v>
      </c>
      <c r="N450" s="4">
        <f>tbl_SaaS_Audit[[#This Row],[Tenure_Months]]*tbl_SaaS_Audit[[#This Row],[Monthly_Revenue]]</f>
        <v>156851.27999999997</v>
      </c>
      <c r="O450" s="3" t="str" cm="1">
        <f t="array" ref="O45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50" s="4" cm="1">
        <f t="array" ref="P450">_xlfn.IFS(tbl_SaaS_Audit[[#This Row],[Risk_Level]]="CRITICAL RISK",tbl_SaaS_Audit[[#This Row],[Monthly_Revenue]]*12,TRUE,0)</f>
        <v>104567.51999999999</v>
      </c>
    </row>
    <row r="451" spans="1:16">
      <c r="A451" s="1">
        <v>450</v>
      </c>
      <c r="B451" s="1" t="s">
        <v>141</v>
      </c>
      <c r="C451" s="1" t="s">
        <v>15</v>
      </c>
      <c r="D451" s="2">
        <v>45418</v>
      </c>
      <c r="E451" s="1" t="s">
        <v>41</v>
      </c>
      <c r="F451" s="4">
        <v>4609.8599999999997</v>
      </c>
      <c r="G451" s="1" t="s">
        <v>49</v>
      </c>
      <c r="H451" s="2">
        <v>46243</v>
      </c>
      <c r="I451" s="1">
        <v>10</v>
      </c>
      <c r="J451" s="1" t="s">
        <v>51</v>
      </c>
      <c r="K451" s="1" t="str">
        <f>_xlfn.TEXTBEFORE(tbl_SaaS_Audit[[#This Row],[region]],"-")</f>
        <v>NA</v>
      </c>
      <c r="L451" s="8" t="str">
        <f>_xlfn.TEXTAFTER(tbl_SaaS_Audit[[#This Row],[region]],"-")</f>
        <v>EAST</v>
      </c>
      <c r="M451" s="8">
        <f t="shared" si="7"/>
        <v>28</v>
      </c>
      <c r="N451" s="4">
        <f>tbl_SaaS_Audit[[#This Row],[Tenure_Months]]*tbl_SaaS_Audit[[#This Row],[Monthly_Revenue]]</f>
        <v>129076.07999999999</v>
      </c>
      <c r="O451" s="3" t="str" cm="1">
        <f t="array" ref="O45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51" s="4" cm="1">
        <f t="array" ref="P451">_xlfn.IFS(tbl_SaaS_Audit[[#This Row],[Risk_Level]]="CRITICAL RISK",tbl_SaaS_Audit[[#This Row],[Monthly_Revenue]]*12,TRUE,0)</f>
        <v>0</v>
      </c>
    </row>
    <row r="452" spans="1:16">
      <c r="A452" s="1">
        <v>451</v>
      </c>
      <c r="B452" s="1" t="s">
        <v>295</v>
      </c>
      <c r="C452" s="1" t="s">
        <v>13</v>
      </c>
      <c r="D452" s="2">
        <v>45572</v>
      </c>
      <c r="E452" s="1" t="s">
        <v>41</v>
      </c>
      <c r="F452" s="4">
        <v>4774.55</v>
      </c>
      <c r="G452" s="1" t="s">
        <v>33</v>
      </c>
      <c r="H452" s="2">
        <v>45967</v>
      </c>
      <c r="I452" s="1">
        <v>3</v>
      </c>
      <c r="J452" s="1" t="s">
        <v>34</v>
      </c>
      <c r="K452" s="1" t="str">
        <f>_xlfn.TEXTBEFORE(tbl_SaaS_Audit[[#This Row],[region]],"-")</f>
        <v>APAC</v>
      </c>
      <c r="L452" s="8" t="str">
        <f>_xlfn.TEXTAFTER(tbl_SaaS_Audit[[#This Row],[region]],"-")</f>
        <v>SGP</v>
      </c>
      <c r="M452" s="8">
        <f t="shared" si="7"/>
        <v>13</v>
      </c>
      <c r="N452" s="4">
        <f>tbl_SaaS_Audit[[#This Row],[Tenure_Months]]*tbl_SaaS_Audit[[#This Row],[Monthly_Revenue]]</f>
        <v>62069.15</v>
      </c>
      <c r="O452" s="3" t="str" cm="1">
        <f t="array" ref="O45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52" s="4" cm="1">
        <f t="array" ref="P452">_xlfn.IFS(tbl_SaaS_Audit[[#This Row],[Risk_Level]]="CRITICAL RISK",tbl_SaaS_Audit[[#This Row],[Monthly_Revenue]]*12,TRUE,0)</f>
        <v>0</v>
      </c>
    </row>
    <row r="453" spans="1:16">
      <c r="A453" s="1">
        <v>452</v>
      </c>
      <c r="B453" s="1" t="s">
        <v>238</v>
      </c>
      <c r="C453" s="1" t="s">
        <v>12</v>
      </c>
      <c r="D453" s="2">
        <v>45600</v>
      </c>
      <c r="E453" s="1" t="s">
        <v>32</v>
      </c>
      <c r="F453" s="4">
        <v>11027.5</v>
      </c>
      <c r="G453" s="1" t="s">
        <v>42</v>
      </c>
      <c r="H453" s="2">
        <v>46074</v>
      </c>
      <c r="I453" s="1">
        <v>2</v>
      </c>
      <c r="J453" s="1" t="s">
        <v>47</v>
      </c>
      <c r="K453" s="1" t="str">
        <f>_xlfn.TEXTBEFORE(tbl_SaaS_Audit[[#This Row],[region]],"-")</f>
        <v>NA</v>
      </c>
      <c r="L453" s="8" t="str">
        <f>_xlfn.TEXTAFTER(tbl_SaaS_Audit[[#This Row],[region]],"-")</f>
        <v>WEST</v>
      </c>
      <c r="M453" s="8">
        <f t="shared" si="7"/>
        <v>22</v>
      </c>
      <c r="N453" s="4">
        <f>tbl_SaaS_Audit[[#This Row],[Tenure_Months]]*tbl_SaaS_Audit[[#This Row],[Monthly_Revenue]]</f>
        <v>242605</v>
      </c>
      <c r="O453" s="3" t="str" cm="1">
        <f t="array" ref="O45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53" s="4" cm="1">
        <f t="array" ref="P453">_xlfn.IFS(tbl_SaaS_Audit[[#This Row],[Risk_Level]]="CRITICAL RISK",tbl_SaaS_Audit[[#This Row],[Monthly_Revenue]]*12,TRUE,0)</f>
        <v>0</v>
      </c>
    </row>
    <row r="454" spans="1:16">
      <c r="A454" s="1">
        <v>453</v>
      </c>
      <c r="B454" s="1" t="s">
        <v>44</v>
      </c>
      <c r="C454" s="1" t="s">
        <v>14</v>
      </c>
      <c r="D454" s="2">
        <v>45353</v>
      </c>
      <c r="E454" s="1" t="s">
        <v>32</v>
      </c>
      <c r="F454" s="4">
        <v>4789.9399999999996</v>
      </c>
      <c r="G454" s="1" t="s">
        <v>36</v>
      </c>
      <c r="H454" s="2">
        <v>45878</v>
      </c>
      <c r="I454" s="1">
        <v>13</v>
      </c>
      <c r="J454" s="1" t="s">
        <v>45</v>
      </c>
      <c r="K454" s="1" t="str">
        <f>_xlfn.TEXTBEFORE(tbl_SaaS_Audit[[#This Row],[region]],"-")</f>
        <v>EU</v>
      </c>
      <c r="L454" s="8" t="str">
        <f>_xlfn.TEXTAFTER(tbl_SaaS_Audit[[#This Row],[region]],"-")</f>
        <v>CENTRAL</v>
      </c>
      <c r="M454" s="8">
        <f t="shared" si="7"/>
        <v>30</v>
      </c>
      <c r="N454" s="4">
        <f>tbl_SaaS_Audit[[#This Row],[Tenure_Months]]*tbl_SaaS_Audit[[#This Row],[Monthly_Revenue]]</f>
        <v>143698.19999999998</v>
      </c>
      <c r="O454" s="3" t="str" cm="1">
        <f t="array" ref="O45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54" s="4" cm="1">
        <f t="array" ref="P454">_xlfn.IFS(tbl_SaaS_Audit[[#This Row],[Risk_Level]]="CRITICAL RISK",tbl_SaaS_Audit[[#This Row],[Monthly_Revenue]]*12,TRUE,0)</f>
        <v>0</v>
      </c>
    </row>
    <row r="455" spans="1:16">
      <c r="A455" s="1">
        <v>454</v>
      </c>
      <c r="B455" s="1" t="s">
        <v>258</v>
      </c>
      <c r="C455" s="1" t="s">
        <v>12</v>
      </c>
      <c r="D455" s="2">
        <v>45472</v>
      </c>
      <c r="E455" s="1" t="s">
        <v>39</v>
      </c>
      <c r="F455" s="4">
        <v>10641.78</v>
      </c>
      <c r="G455" s="1" t="s">
        <v>36</v>
      </c>
      <c r="H455" s="2">
        <v>46015</v>
      </c>
      <c r="I455" s="1">
        <v>13</v>
      </c>
      <c r="J455" s="1" t="s">
        <v>47</v>
      </c>
      <c r="K455" s="1" t="str">
        <f>_xlfn.TEXTBEFORE(tbl_SaaS_Audit[[#This Row],[region]],"-")</f>
        <v>NA</v>
      </c>
      <c r="L455" s="8" t="str">
        <f>_xlfn.TEXTAFTER(tbl_SaaS_Audit[[#This Row],[region]],"-")</f>
        <v>WEST</v>
      </c>
      <c r="M455" s="8">
        <f t="shared" si="7"/>
        <v>27</v>
      </c>
      <c r="N455" s="4">
        <f>tbl_SaaS_Audit[[#This Row],[Tenure_Months]]*tbl_SaaS_Audit[[#This Row],[Monthly_Revenue]]</f>
        <v>287328.06</v>
      </c>
      <c r="O455" s="3" t="str" cm="1">
        <f t="array" ref="O45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55" s="4" cm="1">
        <f t="array" ref="P455">_xlfn.IFS(tbl_SaaS_Audit[[#This Row],[Risk_Level]]="CRITICAL RISK",tbl_SaaS_Audit[[#This Row],[Monthly_Revenue]]*12,TRUE,0)</f>
        <v>0</v>
      </c>
    </row>
    <row r="456" spans="1:16">
      <c r="A456" s="1">
        <v>455</v>
      </c>
      <c r="B456" s="1" t="s">
        <v>296</v>
      </c>
      <c r="C456" s="1" t="s">
        <v>14</v>
      </c>
      <c r="D456" s="2">
        <v>45715</v>
      </c>
      <c r="E456" s="1" t="s">
        <v>41</v>
      </c>
      <c r="F456" s="4">
        <v>7159.61</v>
      </c>
      <c r="G456" s="1" t="s">
        <v>42</v>
      </c>
      <c r="H456" s="2">
        <v>46111</v>
      </c>
      <c r="I456" s="1">
        <v>3</v>
      </c>
      <c r="J456" s="1" t="s">
        <v>34</v>
      </c>
      <c r="K456" s="1" t="str">
        <f>_xlfn.TEXTBEFORE(tbl_SaaS_Audit[[#This Row],[region]],"-")</f>
        <v>APAC</v>
      </c>
      <c r="L456" s="8" t="str">
        <f>_xlfn.TEXTAFTER(tbl_SaaS_Audit[[#This Row],[region]],"-")</f>
        <v>SGP</v>
      </c>
      <c r="M456" s="8">
        <f t="shared" si="7"/>
        <v>19</v>
      </c>
      <c r="N456" s="4">
        <f>tbl_SaaS_Audit[[#This Row],[Tenure_Months]]*tbl_SaaS_Audit[[#This Row],[Monthly_Revenue]]</f>
        <v>136032.59</v>
      </c>
      <c r="O456" s="3" t="str" cm="1">
        <f t="array" ref="O45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56" s="4" cm="1">
        <f t="array" ref="P456">_xlfn.IFS(tbl_SaaS_Audit[[#This Row],[Risk_Level]]="CRITICAL RISK",tbl_SaaS_Audit[[#This Row],[Monthly_Revenue]]*12,TRUE,0)</f>
        <v>0</v>
      </c>
    </row>
    <row r="457" spans="1:16">
      <c r="A457" s="1">
        <v>456</v>
      </c>
      <c r="B457" s="1" t="s">
        <v>167</v>
      </c>
      <c r="C457" s="1" t="s">
        <v>14</v>
      </c>
      <c r="D457" s="2">
        <v>45503</v>
      </c>
      <c r="E457" s="1" t="s">
        <v>39</v>
      </c>
      <c r="F457" s="4">
        <v>8183.89</v>
      </c>
      <c r="G457" s="1" t="s">
        <v>42</v>
      </c>
      <c r="H457" s="2">
        <v>45849</v>
      </c>
      <c r="I457" s="1">
        <v>3</v>
      </c>
      <c r="J457" s="1" t="s">
        <v>34</v>
      </c>
      <c r="K457" s="1" t="str">
        <f>_xlfn.TEXTBEFORE(tbl_SaaS_Audit[[#This Row],[region]],"-")</f>
        <v>APAC</v>
      </c>
      <c r="L457" s="8" t="str">
        <f>_xlfn.TEXTAFTER(tbl_SaaS_Audit[[#This Row],[region]],"-")</f>
        <v>SGP</v>
      </c>
      <c r="M457" s="8">
        <f t="shared" si="7"/>
        <v>26</v>
      </c>
      <c r="N457" s="4">
        <f>tbl_SaaS_Audit[[#This Row],[Tenure_Months]]*tbl_SaaS_Audit[[#This Row],[Monthly_Revenue]]</f>
        <v>212781.14</v>
      </c>
      <c r="O457" s="3" t="str" cm="1">
        <f t="array" ref="O45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57" s="4" cm="1">
        <f t="array" ref="P457">_xlfn.IFS(tbl_SaaS_Audit[[#This Row],[Risk_Level]]="CRITICAL RISK",tbl_SaaS_Audit[[#This Row],[Monthly_Revenue]]*12,TRUE,0)</f>
        <v>0</v>
      </c>
    </row>
    <row r="458" spans="1:16">
      <c r="A458" s="1">
        <v>457</v>
      </c>
      <c r="B458" s="1" t="s">
        <v>297</v>
      </c>
      <c r="C458" s="1" t="s">
        <v>11</v>
      </c>
      <c r="D458" s="2">
        <v>45336</v>
      </c>
      <c r="E458" s="1" t="s">
        <v>41</v>
      </c>
      <c r="F458" s="4">
        <v>3087.54</v>
      </c>
      <c r="G458" s="1" t="s">
        <v>33</v>
      </c>
      <c r="H458" s="2">
        <v>46128</v>
      </c>
      <c r="I458" s="1">
        <v>8</v>
      </c>
      <c r="J458" s="1" t="s">
        <v>34</v>
      </c>
      <c r="K458" s="1" t="str">
        <f>_xlfn.TEXTBEFORE(tbl_SaaS_Audit[[#This Row],[region]],"-")</f>
        <v>APAC</v>
      </c>
      <c r="L458" s="8" t="str">
        <f>_xlfn.TEXTAFTER(tbl_SaaS_Audit[[#This Row],[region]],"-")</f>
        <v>SGP</v>
      </c>
      <c r="M458" s="8">
        <f t="shared" si="7"/>
        <v>26</v>
      </c>
      <c r="N458" s="4">
        <f>tbl_SaaS_Audit[[#This Row],[Tenure_Months]]*tbl_SaaS_Audit[[#This Row],[Monthly_Revenue]]</f>
        <v>80276.039999999994</v>
      </c>
      <c r="O458" s="3" t="str" cm="1">
        <f t="array" ref="O45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58" s="4" cm="1">
        <f t="array" ref="P458">_xlfn.IFS(tbl_SaaS_Audit[[#This Row],[Risk_Level]]="CRITICAL RISK",tbl_SaaS_Audit[[#This Row],[Monthly_Revenue]]*12,TRUE,0)</f>
        <v>0</v>
      </c>
    </row>
    <row r="459" spans="1:16">
      <c r="A459" s="1">
        <v>458</v>
      </c>
      <c r="B459" s="1" t="s">
        <v>92</v>
      </c>
      <c r="C459" s="1" t="s">
        <v>15</v>
      </c>
      <c r="D459" s="2">
        <v>45485</v>
      </c>
      <c r="E459" s="1" t="s">
        <v>39</v>
      </c>
      <c r="F459" s="4">
        <v>3182.96</v>
      </c>
      <c r="G459" s="1" t="s">
        <v>36</v>
      </c>
      <c r="H459" s="1"/>
      <c r="I459" s="1">
        <v>1</v>
      </c>
      <c r="J459" s="1" t="s">
        <v>51</v>
      </c>
      <c r="K459" s="1" t="str">
        <f>_xlfn.TEXTBEFORE(tbl_SaaS_Audit[[#This Row],[region]],"-")</f>
        <v>NA</v>
      </c>
      <c r="L459" s="8" t="str">
        <f>_xlfn.TEXTAFTER(tbl_SaaS_Audit[[#This Row],[region]],"-")</f>
        <v>EAST</v>
      </c>
      <c r="M459" s="8">
        <f t="shared" si="7"/>
        <v>26</v>
      </c>
      <c r="N459" s="4">
        <f>tbl_SaaS_Audit[[#This Row],[Tenure_Months]]*tbl_SaaS_Audit[[#This Row],[Monthly_Revenue]]</f>
        <v>82756.960000000006</v>
      </c>
      <c r="O459" s="3" t="str" cm="1">
        <f t="array" ref="O45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59" s="4" cm="1">
        <f t="array" ref="P459">_xlfn.IFS(tbl_SaaS_Audit[[#This Row],[Risk_Level]]="CRITICAL RISK",tbl_SaaS_Audit[[#This Row],[Monthly_Revenue]]*12,TRUE,0)</f>
        <v>0</v>
      </c>
    </row>
    <row r="460" spans="1:16">
      <c r="A460" s="1">
        <v>459</v>
      </c>
      <c r="B460" s="1" t="s">
        <v>298</v>
      </c>
      <c r="C460" s="1" t="s">
        <v>11</v>
      </c>
      <c r="D460" s="2">
        <v>45696</v>
      </c>
      <c r="E460" s="1" t="s">
        <v>39</v>
      </c>
      <c r="F460" s="4">
        <v>12708.44</v>
      </c>
      <c r="G460" s="1" t="s">
        <v>33</v>
      </c>
      <c r="H460" s="2">
        <v>45859</v>
      </c>
      <c r="I460" s="1">
        <v>17</v>
      </c>
      <c r="J460" s="1" t="s">
        <v>34</v>
      </c>
      <c r="K460" s="1" t="str">
        <f>_xlfn.TEXTBEFORE(tbl_SaaS_Audit[[#This Row],[region]],"-")</f>
        <v>APAC</v>
      </c>
      <c r="L460" s="8" t="str">
        <f>_xlfn.TEXTAFTER(tbl_SaaS_Audit[[#This Row],[region]],"-")</f>
        <v>SGP</v>
      </c>
      <c r="M460" s="8">
        <f t="shared" si="7"/>
        <v>5</v>
      </c>
      <c r="N460" s="4">
        <f>tbl_SaaS_Audit[[#This Row],[Tenure_Months]]*tbl_SaaS_Audit[[#This Row],[Monthly_Revenue]]</f>
        <v>63542.200000000004</v>
      </c>
      <c r="O460" s="3" t="str" cm="1">
        <f t="array" ref="O46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60" s="4" cm="1">
        <f t="array" ref="P460">_xlfn.IFS(tbl_SaaS_Audit[[#This Row],[Risk_Level]]="CRITICAL RISK",tbl_SaaS_Audit[[#This Row],[Monthly_Revenue]]*12,TRUE,0)</f>
        <v>0</v>
      </c>
    </row>
    <row r="461" spans="1:16">
      <c r="A461" s="1">
        <v>460</v>
      </c>
      <c r="B461" s="1" t="s">
        <v>111</v>
      </c>
      <c r="C461" s="1" t="s">
        <v>14</v>
      </c>
      <c r="D461" s="2">
        <v>45418</v>
      </c>
      <c r="E461" s="1" t="s">
        <v>39</v>
      </c>
      <c r="F461" s="4">
        <v>8142.52</v>
      </c>
      <c r="G461" s="1" t="s">
        <v>42</v>
      </c>
      <c r="H461" s="1"/>
      <c r="I461" s="1">
        <v>18</v>
      </c>
      <c r="J461" s="1" t="s">
        <v>47</v>
      </c>
      <c r="K461" s="1" t="str">
        <f>_xlfn.TEXTBEFORE(tbl_SaaS_Audit[[#This Row],[region]],"-")</f>
        <v>NA</v>
      </c>
      <c r="L461" s="8" t="str">
        <f>_xlfn.TEXTAFTER(tbl_SaaS_Audit[[#This Row],[region]],"-")</f>
        <v>WEST</v>
      </c>
      <c r="M461" s="8">
        <f t="shared" si="7"/>
        <v>28</v>
      </c>
      <c r="N461" s="4">
        <f>tbl_SaaS_Audit[[#This Row],[Tenure_Months]]*tbl_SaaS_Audit[[#This Row],[Monthly_Revenue]]</f>
        <v>227990.56</v>
      </c>
      <c r="O461" s="3" t="str" cm="1">
        <f t="array" ref="O46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61" s="4" cm="1">
        <f t="array" ref="P461">_xlfn.IFS(tbl_SaaS_Audit[[#This Row],[Risk_Level]]="CRITICAL RISK",tbl_SaaS_Audit[[#This Row],[Monthly_Revenue]]*12,TRUE,0)</f>
        <v>97710.24</v>
      </c>
    </row>
    <row r="462" spans="1:16">
      <c r="A462" s="1">
        <v>461</v>
      </c>
      <c r="B462" s="1" t="s">
        <v>267</v>
      </c>
      <c r="C462" s="1" t="s">
        <v>15</v>
      </c>
      <c r="D462" s="2">
        <v>45769</v>
      </c>
      <c r="E462" s="1" t="s">
        <v>39</v>
      </c>
      <c r="F462" s="4">
        <v>14294.14</v>
      </c>
      <c r="G462" s="1" t="s">
        <v>42</v>
      </c>
      <c r="H462" s="2">
        <v>46171</v>
      </c>
      <c r="I462" s="1">
        <v>4</v>
      </c>
      <c r="J462" s="1" t="s">
        <v>45</v>
      </c>
      <c r="K462" s="1" t="str">
        <f>_xlfn.TEXTBEFORE(tbl_SaaS_Audit[[#This Row],[region]],"-")</f>
        <v>EU</v>
      </c>
      <c r="L462" s="8" t="str">
        <f>_xlfn.TEXTAFTER(tbl_SaaS_Audit[[#This Row],[region]],"-")</f>
        <v>CENTRAL</v>
      </c>
      <c r="M462" s="8">
        <f t="shared" si="7"/>
        <v>17</v>
      </c>
      <c r="N462" s="4">
        <f>tbl_SaaS_Audit[[#This Row],[Tenure_Months]]*tbl_SaaS_Audit[[#This Row],[Monthly_Revenue]]</f>
        <v>243000.38</v>
      </c>
      <c r="O462" s="3" t="str" cm="1">
        <f t="array" ref="O46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62" s="4" cm="1">
        <f t="array" ref="P462">_xlfn.IFS(tbl_SaaS_Audit[[#This Row],[Risk_Level]]="CRITICAL RISK",tbl_SaaS_Audit[[#This Row],[Monthly_Revenue]]*12,TRUE,0)</f>
        <v>0</v>
      </c>
    </row>
    <row r="463" spans="1:16">
      <c r="A463" s="1">
        <v>462</v>
      </c>
      <c r="B463" s="1" t="s">
        <v>299</v>
      </c>
      <c r="C463" s="1" t="s">
        <v>12</v>
      </c>
      <c r="D463" s="2">
        <v>45590</v>
      </c>
      <c r="E463" s="1" t="s">
        <v>39</v>
      </c>
      <c r="F463" s="4">
        <v>5954.66</v>
      </c>
      <c r="G463" s="1" t="s">
        <v>36</v>
      </c>
      <c r="H463" s="2">
        <v>46014</v>
      </c>
      <c r="I463" s="1">
        <v>9</v>
      </c>
      <c r="J463" s="1" t="s">
        <v>45</v>
      </c>
      <c r="K463" s="1" t="str">
        <f>_xlfn.TEXTBEFORE(tbl_SaaS_Audit[[#This Row],[region]],"-")</f>
        <v>EU</v>
      </c>
      <c r="L463" s="8" t="str">
        <f>_xlfn.TEXTAFTER(tbl_SaaS_Audit[[#This Row],[region]],"-")</f>
        <v>CENTRAL</v>
      </c>
      <c r="M463" s="8">
        <f t="shared" si="7"/>
        <v>23</v>
      </c>
      <c r="N463" s="4">
        <f>tbl_SaaS_Audit[[#This Row],[Tenure_Months]]*tbl_SaaS_Audit[[#This Row],[Monthly_Revenue]]</f>
        <v>136957.18</v>
      </c>
      <c r="O463" s="3" t="str" cm="1">
        <f t="array" ref="O46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63" s="4" cm="1">
        <f t="array" ref="P463">_xlfn.IFS(tbl_SaaS_Audit[[#This Row],[Risk_Level]]="CRITICAL RISK",tbl_SaaS_Audit[[#This Row],[Monthly_Revenue]]*12,TRUE,0)</f>
        <v>0</v>
      </c>
    </row>
    <row r="464" spans="1:16">
      <c r="A464" s="1">
        <v>463</v>
      </c>
      <c r="B464" s="1" t="s">
        <v>125</v>
      </c>
      <c r="C464" s="1" t="s">
        <v>12</v>
      </c>
      <c r="D464" s="2">
        <v>45712</v>
      </c>
      <c r="E464" s="1" t="s">
        <v>39</v>
      </c>
      <c r="F464" s="4">
        <v>737.07</v>
      </c>
      <c r="G464" s="1" t="s">
        <v>36</v>
      </c>
      <c r="H464" s="2">
        <v>45914</v>
      </c>
      <c r="I464" s="1">
        <v>3</v>
      </c>
      <c r="J464" s="1" t="s">
        <v>34</v>
      </c>
      <c r="K464" s="1" t="str">
        <f>_xlfn.TEXTBEFORE(tbl_SaaS_Audit[[#This Row],[region]],"-")</f>
        <v>APAC</v>
      </c>
      <c r="L464" s="8" t="str">
        <f>_xlfn.TEXTAFTER(tbl_SaaS_Audit[[#This Row],[region]],"-")</f>
        <v>SGP</v>
      </c>
      <c r="M464" s="8">
        <f t="shared" si="7"/>
        <v>19</v>
      </c>
      <c r="N464" s="4">
        <f>tbl_SaaS_Audit[[#This Row],[Tenure_Months]]*tbl_SaaS_Audit[[#This Row],[Monthly_Revenue]]</f>
        <v>14004.330000000002</v>
      </c>
      <c r="O464" s="3" t="str" cm="1">
        <f t="array" ref="O46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64" s="4" cm="1">
        <f t="array" ref="P464">_xlfn.IFS(tbl_SaaS_Audit[[#This Row],[Risk_Level]]="CRITICAL RISK",tbl_SaaS_Audit[[#This Row],[Monthly_Revenue]]*12,TRUE,0)</f>
        <v>0</v>
      </c>
    </row>
    <row r="465" spans="1:16">
      <c r="A465" s="1">
        <v>464</v>
      </c>
      <c r="B465" s="1" t="s">
        <v>157</v>
      </c>
      <c r="C465" s="1" t="s">
        <v>13</v>
      </c>
      <c r="D465" s="2">
        <v>45357</v>
      </c>
      <c r="E465" s="1" t="s">
        <v>41</v>
      </c>
      <c r="F465" s="4">
        <v>2447.2399999999998</v>
      </c>
      <c r="G465" s="1" t="s">
        <v>33</v>
      </c>
      <c r="H465" s="2">
        <v>45872</v>
      </c>
      <c r="I465" s="1">
        <v>2</v>
      </c>
      <c r="J465" s="1" t="s">
        <v>47</v>
      </c>
      <c r="K465" s="1" t="str">
        <f>_xlfn.TEXTBEFORE(tbl_SaaS_Audit[[#This Row],[region]],"-")</f>
        <v>NA</v>
      </c>
      <c r="L465" s="8" t="str">
        <f>_xlfn.TEXTAFTER(tbl_SaaS_Audit[[#This Row],[region]],"-")</f>
        <v>WEST</v>
      </c>
      <c r="M465" s="8">
        <f t="shared" si="7"/>
        <v>17</v>
      </c>
      <c r="N465" s="4">
        <f>tbl_SaaS_Audit[[#This Row],[Tenure_Months]]*tbl_SaaS_Audit[[#This Row],[Monthly_Revenue]]</f>
        <v>41603.079999999994</v>
      </c>
      <c r="O465" s="3" t="str" cm="1">
        <f t="array" ref="O46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65" s="4" cm="1">
        <f t="array" ref="P465">_xlfn.IFS(tbl_SaaS_Audit[[#This Row],[Risk_Level]]="CRITICAL RISK",tbl_SaaS_Audit[[#This Row],[Monthly_Revenue]]*12,TRUE,0)</f>
        <v>0</v>
      </c>
    </row>
    <row r="466" spans="1:16">
      <c r="A466" s="1">
        <v>465</v>
      </c>
      <c r="B466" s="1" t="s">
        <v>268</v>
      </c>
      <c r="C466" s="1" t="s">
        <v>11</v>
      </c>
      <c r="D466" s="2">
        <v>45680</v>
      </c>
      <c r="E466" s="1" t="s">
        <v>39</v>
      </c>
      <c r="F466" s="4">
        <v>3506.39</v>
      </c>
      <c r="G466" s="1" t="s">
        <v>49</v>
      </c>
      <c r="H466" s="2">
        <v>46038</v>
      </c>
      <c r="I466" s="1">
        <v>6</v>
      </c>
      <c r="J466" s="1" t="s">
        <v>34</v>
      </c>
      <c r="K466" s="1" t="str">
        <f>_xlfn.TEXTBEFORE(tbl_SaaS_Audit[[#This Row],[region]],"-")</f>
        <v>APAC</v>
      </c>
      <c r="L466" s="8" t="str">
        <f>_xlfn.TEXTAFTER(tbl_SaaS_Audit[[#This Row],[region]],"-")</f>
        <v>SGP</v>
      </c>
      <c r="M466" s="8">
        <f t="shared" si="7"/>
        <v>20</v>
      </c>
      <c r="N466" s="4">
        <f>tbl_SaaS_Audit[[#This Row],[Tenure_Months]]*tbl_SaaS_Audit[[#This Row],[Monthly_Revenue]]</f>
        <v>70127.8</v>
      </c>
      <c r="O466" s="3" t="str" cm="1">
        <f t="array" ref="O46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66" s="4" cm="1">
        <f t="array" ref="P466">_xlfn.IFS(tbl_SaaS_Audit[[#This Row],[Risk_Level]]="CRITICAL RISK",tbl_SaaS_Audit[[#This Row],[Monthly_Revenue]]*12,TRUE,0)</f>
        <v>0</v>
      </c>
    </row>
    <row r="467" spans="1:16">
      <c r="A467" s="1">
        <v>466</v>
      </c>
      <c r="B467" s="1" t="s">
        <v>300</v>
      </c>
      <c r="C467" s="1" t="s">
        <v>14</v>
      </c>
      <c r="D467" s="2">
        <v>45484</v>
      </c>
      <c r="E467" s="1" t="s">
        <v>41</v>
      </c>
      <c r="F467" s="4">
        <v>8078.71</v>
      </c>
      <c r="G467" s="1" t="s">
        <v>42</v>
      </c>
      <c r="H467" s="1"/>
      <c r="I467" s="1">
        <v>2</v>
      </c>
      <c r="J467" s="1" t="s">
        <v>37</v>
      </c>
      <c r="K467" s="1" t="str">
        <f>_xlfn.TEXTBEFORE(tbl_SaaS_Audit[[#This Row],[region]],"-")</f>
        <v>MEA</v>
      </c>
      <c r="L467" s="8" t="str">
        <f>_xlfn.TEXTAFTER(tbl_SaaS_Audit[[#This Row],[region]],"-")</f>
        <v>EGY</v>
      </c>
      <c r="M467" s="8">
        <f t="shared" si="7"/>
        <v>26</v>
      </c>
      <c r="N467" s="4">
        <f>tbl_SaaS_Audit[[#This Row],[Tenure_Months]]*tbl_SaaS_Audit[[#This Row],[Monthly_Revenue]]</f>
        <v>210046.46</v>
      </c>
      <c r="O467" s="3" t="str" cm="1">
        <f t="array" ref="O46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67" s="4" cm="1">
        <f t="array" ref="P467">_xlfn.IFS(tbl_SaaS_Audit[[#This Row],[Risk_Level]]="CRITICAL RISK",tbl_SaaS_Audit[[#This Row],[Monthly_Revenue]]*12,TRUE,0)</f>
        <v>0</v>
      </c>
    </row>
    <row r="468" spans="1:16">
      <c r="A468" s="1">
        <v>467</v>
      </c>
      <c r="B468" s="1" t="s">
        <v>111</v>
      </c>
      <c r="C468" s="1" t="s">
        <v>12</v>
      </c>
      <c r="D468" s="2">
        <v>45687</v>
      </c>
      <c r="E468" s="1" t="s">
        <v>39</v>
      </c>
      <c r="F468" s="4">
        <v>4475.79</v>
      </c>
      <c r="G468" s="1" t="s">
        <v>33</v>
      </c>
      <c r="H468" s="2">
        <v>45872</v>
      </c>
      <c r="I468" s="1">
        <v>11</v>
      </c>
      <c r="J468" s="1" t="s">
        <v>34</v>
      </c>
      <c r="K468" s="1" t="str">
        <f>_xlfn.TEXTBEFORE(tbl_SaaS_Audit[[#This Row],[region]],"-")</f>
        <v>APAC</v>
      </c>
      <c r="L468" s="8" t="str">
        <f>_xlfn.TEXTAFTER(tbl_SaaS_Audit[[#This Row],[region]],"-")</f>
        <v>SGP</v>
      </c>
      <c r="M468" s="8">
        <f t="shared" si="7"/>
        <v>7</v>
      </c>
      <c r="N468" s="4">
        <f>tbl_SaaS_Audit[[#This Row],[Tenure_Months]]*tbl_SaaS_Audit[[#This Row],[Monthly_Revenue]]</f>
        <v>31330.53</v>
      </c>
      <c r="O468" s="3" t="str" cm="1">
        <f t="array" ref="O46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68" s="4" cm="1">
        <f t="array" ref="P468">_xlfn.IFS(tbl_SaaS_Audit[[#This Row],[Risk_Level]]="CRITICAL RISK",tbl_SaaS_Audit[[#This Row],[Monthly_Revenue]]*12,TRUE,0)</f>
        <v>0</v>
      </c>
    </row>
    <row r="469" spans="1:16">
      <c r="A469" s="1">
        <v>468</v>
      </c>
      <c r="B469" s="1" t="s">
        <v>301</v>
      </c>
      <c r="C469" s="1" t="s">
        <v>13</v>
      </c>
      <c r="D469" s="2">
        <v>45418</v>
      </c>
      <c r="E469" s="1" t="s">
        <v>39</v>
      </c>
      <c r="F469" s="4">
        <v>3560.76</v>
      </c>
      <c r="G469" s="1" t="s">
        <v>42</v>
      </c>
      <c r="H469" s="2">
        <v>46247</v>
      </c>
      <c r="I469" s="1">
        <v>2</v>
      </c>
      <c r="J469" s="1" t="s">
        <v>51</v>
      </c>
      <c r="K469" s="1" t="str">
        <f>_xlfn.TEXTBEFORE(tbl_SaaS_Audit[[#This Row],[region]],"-")</f>
        <v>NA</v>
      </c>
      <c r="L469" s="8" t="str">
        <f>_xlfn.TEXTAFTER(tbl_SaaS_Audit[[#This Row],[region]],"-")</f>
        <v>EAST</v>
      </c>
      <c r="M469" s="8">
        <f t="shared" si="7"/>
        <v>28</v>
      </c>
      <c r="N469" s="4">
        <f>tbl_SaaS_Audit[[#This Row],[Tenure_Months]]*tbl_SaaS_Audit[[#This Row],[Monthly_Revenue]]</f>
        <v>99701.28</v>
      </c>
      <c r="O469" s="3" t="str" cm="1">
        <f t="array" ref="O46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69" s="4" cm="1">
        <f t="array" ref="P469">_xlfn.IFS(tbl_SaaS_Audit[[#This Row],[Risk_Level]]="CRITICAL RISK",tbl_SaaS_Audit[[#This Row],[Monthly_Revenue]]*12,TRUE,0)</f>
        <v>0</v>
      </c>
    </row>
    <row r="470" spans="1:16">
      <c r="A470" s="1">
        <v>469</v>
      </c>
      <c r="B470" s="1" t="s">
        <v>218</v>
      </c>
      <c r="C470" s="1" t="s">
        <v>12</v>
      </c>
      <c r="D470" s="2">
        <v>45508</v>
      </c>
      <c r="E470" s="1" t="s">
        <v>39</v>
      </c>
      <c r="F470" s="4">
        <v>8323.24</v>
      </c>
      <c r="G470" s="1" t="s">
        <v>49</v>
      </c>
      <c r="H470" s="2">
        <v>46080</v>
      </c>
      <c r="I470" s="1">
        <v>12</v>
      </c>
      <c r="J470" s="1" t="s">
        <v>47</v>
      </c>
      <c r="K470" s="1" t="str">
        <f>_xlfn.TEXTBEFORE(tbl_SaaS_Audit[[#This Row],[region]],"-")</f>
        <v>NA</v>
      </c>
      <c r="L470" s="8" t="str">
        <f>_xlfn.TEXTAFTER(tbl_SaaS_Audit[[#This Row],[region]],"-")</f>
        <v>WEST</v>
      </c>
      <c r="M470" s="8">
        <f t="shared" si="7"/>
        <v>25</v>
      </c>
      <c r="N470" s="4">
        <f>tbl_SaaS_Audit[[#This Row],[Tenure_Months]]*tbl_SaaS_Audit[[#This Row],[Monthly_Revenue]]</f>
        <v>208081</v>
      </c>
      <c r="O470" s="3" t="str" cm="1">
        <f t="array" ref="O47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70" s="4" cm="1">
        <f t="array" ref="P470">_xlfn.IFS(tbl_SaaS_Audit[[#This Row],[Risk_Level]]="CRITICAL RISK",tbl_SaaS_Audit[[#This Row],[Monthly_Revenue]]*12,TRUE,0)</f>
        <v>0</v>
      </c>
    </row>
    <row r="471" spans="1:16">
      <c r="A471" s="1">
        <v>470</v>
      </c>
      <c r="B471" s="1" t="s">
        <v>98</v>
      </c>
      <c r="C471" s="1" t="s">
        <v>12</v>
      </c>
      <c r="D471" s="2">
        <v>45722</v>
      </c>
      <c r="E471" s="1" t="s">
        <v>32</v>
      </c>
      <c r="F471" s="4">
        <v>3540.07</v>
      </c>
      <c r="G471" s="1" t="s">
        <v>42</v>
      </c>
      <c r="H471" s="2">
        <v>45996</v>
      </c>
      <c r="I471" s="1">
        <v>16</v>
      </c>
      <c r="J471" s="1" t="s">
        <v>34</v>
      </c>
      <c r="K471" s="1" t="str">
        <f>_xlfn.TEXTBEFORE(tbl_SaaS_Audit[[#This Row],[region]],"-")</f>
        <v>APAC</v>
      </c>
      <c r="L471" s="8" t="str">
        <f>_xlfn.TEXTAFTER(tbl_SaaS_Audit[[#This Row],[region]],"-")</f>
        <v>SGP</v>
      </c>
      <c r="M471" s="8">
        <f t="shared" si="7"/>
        <v>18</v>
      </c>
      <c r="N471" s="4">
        <f>tbl_SaaS_Audit[[#This Row],[Tenure_Months]]*tbl_SaaS_Audit[[#This Row],[Monthly_Revenue]]</f>
        <v>63721.26</v>
      </c>
      <c r="O471" s="3" t="str" cm="1">
        <f t="array" ref="O47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71" s="4" cm="1">
        <f t="array" ref="P471">_xlfn.IFS(tbl_SaaS_Audit[[#This Row],[Risk_Level]]="CRITICAL RISK",tbl_SaaS_Audit[[#This Row],[Monthly_Revenue]]*12,TRUE,0)</f>
        <v>42480.840000000004</v>
      </c>
    </row>
    <row r="472" spans="1:16">
      <c r="A472" s="1">
        <v>471</v>
      </c>
      <c r="B472" s="1" t="s">
        <v>302</v>
      </c>
      <c r="C472" s="1" t="s">
        <v>14</v>
      </c>
      <c r="D472" s="2">
        <v>45296</v>
      </c>
      <c r="E472" s="1" t="s">
        <v>32</v>
      </c>
      <c r="F472" s="4">
        <v>4524.8</v>
      </c>
      <c r="G472" s="1" t="s">
        <v>33</v>
      </c>
      <c r="H472" s="2">
        <v>46158</v>
      </c>
      <c r="I472" s="1">
        <v>17</v>
      </c>
      <c r="J472" s="1" t="s">
        <v>47</v>
      </c>
      <c r="K472" s="1" t="str">
        <f>_xlfn.TEXTBEFORE(tbl_SaaS_Audit[[#This Row],[region]],"-")</f>
        <v>NA</v>
      </c>
      <c r="L472" s="8" t="str">
        <f>_xlfn.TEXTAFTER(tbl_SaaS_Audit[[#This Row],[region]],"-")</f>
        <v>WEST</v>
      </c>
      <c r="M472" s="8">
        <f t="shared" si="7"/>
        <v>28</v>
      </c>
      <c r="N472" s="4">
        <f>tbl_SaaS_Audit[[#This Row],[Tenure_Months]]*tbl_SaaS_Audit[[#This Row],[Monthly_Revenue]]</f>
        <v>126694.40000000001</v>
      </c>
      <c r="O472" s="3" t="str" cm="1">
        <f t="array" ref="O47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72" s="4" cm="1">
        <f t="array" ref="P472">_xlfn.IFS(tbl_SaaS_Audit[[#This Row],[Risk_Level]]="CRITICAL RISK",tbl_SaaS_Audit[[#This Row],[Monthly_Revenue]]*12,TRUE,0)</f>
        <v>0</v>
      </c>
    </row>
    <row r="473" spans="1:16">
      <c r="A473" s="1">
        <v>472</v>
      </c>
      <c r="B473" s="1" t="s">
        <v>159</v>
      </c>
      <c r="C473" s="1" t="s">
        <v>13</v>
      </c>
      <c r="D473" s="2">
        <v>45730</v>
      </c>
      <c r="E473" s="1" t="s">
        <v>32</v>
      </c>
      <c r="F473" s="4">
        <v>13875.44</v>
      </c>
      <c r="G473" s="1" t="s">
        <v>42</v>
      </c>
      <c r="H473" s="2">
        <v>45932</v>
      </c>
      <c r="I473" s="1">
        <v>12</v>
      </c>
      <c r="J473" s="1" t="s">
        <v>34</v>
      </c>
      <c r="K473" s="1" t="str">
        <f>_xlfn.TEXTBEFORE(tbl_SaaS_Audit[[#This Row],[region]],"-")</f>
        <v>APAC</v>
      </c>
      <c r="L473" s="8" t="str">
        <f>_xlfn.TEXTAFTER(tbl_SaaS_Audit[[#This Row],[region]],"-")</f>
        <v>SGP</v>
      </c>
      <c r="M473" s="8">
        <f t="shared" si="7"/>
        <v>18</v>
      </c>
      <c r="N473" s="4">
        <f>tbl_SaaS_Audit[[#This Row],[Tenure_Months]]*tbl_SaaS_Audit[[#This Row],[Monthly_Revenue]]</f>
        <v>249757.92</v>
      </c>
      <c r="O473" s="3" t="str" cm="1">
        <f t="array" ref="O47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73" s="4" cm="1">
        <f t="array" ref="P473">_xlfn.IFS(tbl_SaaS_Audit[[#This Row],[Risk_Level]]="CRITICAL RISK",tbl_SaaS_Audit[[#This Row],[Monthly_Revenue]]*12,TRUE,0)</f>
        <v>166505.28</v>
      </c>
    </row>
    <row r="474" spans="1:16">
      <c r="A474" s="1">
        <v>473</v>
      </c>
      <c r="B474" s="1" t="s">
        <v>200</v>
      </c>
      <c r="C474" s="1" t="s">
        <v>12</v>
      </c>
      <c r="D474" s="2">
        <v>45460</v>
      </c>
      <c r="E474" s="1" t="s">
        <v>41</v>
      </c>
      <c r="F474" s="4">
        <v>7896.9</v>
      </c>
      <c r="G474" s="1" t="s">
        <v>49</v>
      </c>
      <c r="H474" s="2">
        <v>45962</v>
      </c>
      <c r="I474" s="1">
        <v>9</v>
      </c>
      <c r="J474" s="1" t="s">
        <v>51</v>
      </c>
      <c r="K474" s="1" t="str">
        <f>_xlfn.TEXTBEFORE(tbl_SaaS_Audit[[#This Row],[region]],"-")</f>
        <v>NA</v>
      </c>
      <c r="L474" s="8" t="str">
        <f>_xlfn.TEXTAFTER(tbl_SaaS_Audit[[#This Row],[region]],"-")</f>
        <v>EAST</v>
      </c>
      <c r="M474" s="8">
        <f t="shared" si="7"/>
        <v>27</v>
      </c>
      <c r="N474" s="4">
        <f>tbl_SaaS_Audit[[#This Row],[Tenure_Months]]*tbl_SaaS_Audit[[#This Row],[Monthly_Revenue]]</f>
        <v>213216.3</v>
      </c>
      <c r="O474" s="3" t="str" cm="1">
        <f t="array" ref="O47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74" s="4" cm="1">
        <f t="array" ref="P474">_xlfn.IFS(tbl_SaaS_Audit[[#This Row],[Risk_Level]]="CRITICAL RISK",tbl_SaaS_Audit[[#This Row],[Monthly_Revenue]]*12,TRUE,0)</f>
        <v>0</v>
      </c>
    </row>
    <row r="475" spans="1:16">
      <c r="A475" s="1">
        <v>474</v>
      </c>
      <c r="B475" s="1" t="s">
        <v>162</v>
      </c>
      <c r="C475" s="1" t="s">
        <v>11</v>
      </c>
      <c r="D475" s="2">
        <v>45358</v>
      </c>
      <c r="E475" s="1" t="s">
        <v>32</v>
      </c>
      <c r="F475" s="4">
        <v>4958.6499999999996</v>
      </c>
      <c r="G475" s="1" t="s">
        <v>36</v>
      </c>
      <c r="H475" s="1"/>
      <c r="I475" s="1">
        <v>6</v>
      </c>
      <c r="J475" s="1" t="s">
        <v>45</v>
      </c>
      <c r="K475" s="1" t="str">
        <f>_xlfn.TEXTBEFORE(tbl_SaaS_Audit[[#This Row],[region]],"-")</f>
        <v>EU</v>
      </c>
      <c r="L475" s="8" t="str">
        <f>_xlfn.TEXTAFTER(tbl_SaaS_Audit[[#This Row],[region]],"-")</f>
        <v>CENTRAL</v>
      </c>
      <c r="M475" s="8">
        <f t="shared" si="7"/>
        <v>30</v>
      </c>
      <c r="N475" s="4">
        <f>tbl_SaaS_Audit[[#This Row],[Tenure_Months]]*tbl_SaaS_Audit[[#This Row],[Monthly_Revenue]]</f>
        <v>148759.5</v>
      </c>
      <c r="O475" s="3" t="str" cm="1">
        <f t="array" ref="O47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75" s="4" cm="1">
        <f t="array" ref="P475">_xlfn.IFS(tbl_SaaS_Audit[[#This Row],[Risk_Level]]="CRITICAL RISK",tbl_SaaS_Audit[[#This Row],[Monthly_Revenue]]*12,TRUE,0)</f>
        <v>0</v>
      </c>
    </row>
    <row r="476" spans="1:16">
      <c r="A476" s="1">
        <v>475</v>
      </c>
      <c r="B476" s="1" t="s">
        <v>188</v>
      </c>
      <c r="C476" s="1" t="s">
        <v>15</v>
      </c>
      <c r="D476" s="2">
        <v>45783</v>
      </c>
      <c r="E476" s="1" t="s">
        <v>39</v>
      </c>
      <c r="F476" s="4">
        <v>3131.69</v>
      </c>
      <c r="G476" s="1" t="s">
        <v>42</v>
      </c>
      <c r="H476" s="1"/>
      <c r="I476" s="1">
        <v>4</v>
      </c>
      <c r="J476" s="1" t="s">
        <v>34</v>
      </c>
      <c r="K476" s="1" t="str">
        <f>_xlfn.TEXTBEFORE(tbl_SaaS_Audit[[#This Row],[region]],"-")</f>
        <v>APAC</v>
      </c>
      <c r="L476" s="8" t="str">
        <f>_xlfn.TEXTAFTER(tbl_SaaS_Audit[[#This Row],[region]],"-")</f>
        <v>SGP</v>
      </c>
      <c r="M476" s="8">
        <f t="shared" si="7"/>
        <v>16</v>
      </c>
      <c r="N476" s="4">
        <f>tbl_SaaS_Audit[[#This Row],[Tenure_Months]]*tbl_SaaS_Audit[[#This Row],[Monthly_Revenue]]</f>
        <v>50107.040000000001</v>
      </c>
      <c r="O476" s="3" t="str" cm="1">
        <f t="array" ref="O47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76" s="4" cm="1">
        <f t="array" ref="P476">_xlfn.IFS(tbl_SaaS_Audit[[#This Row],[Risk_Level]]="CRITICAL RISK",tbl_SaaS_Audit[[#This Row],[Monthly_Revenue]]*12,TRUE,0)</f>
        <v>0</v>
      </c>
    </row>
    <row r="477" spans="1:16">
      <c r="A477" s="1">
        <v>476</v>
      </c>
      <c r="B477" s="1" t="s">
        <v>303</v>
      </c>
      <c r="C477" s="1" t="s">
        <v>12</v>
      </c>
      <c r="D477" s="2">
        <v>45319</v>
      </c>
      <c r="E477" s="1" t="s">
        <v>41</v>
      </c>
      <c r="F477" s="4">
        <v>14139.56</v>
      </c>
      <c r="G477" s="1" t="s">
        <v>42</v>
      </c>
      <c r="H477" s="2">
        <v>46017</v>
      </c>
      <c r="I477" s="1">
        <v>8</v>
      </c>
      <c r="J477" s="1" t="s">
        <v>45</v>
      </c>
      <c r="K477" s="1" t="str">
        <f>_xlfn.TEXTBEFORE(tbl_SaaS_Audit[[#This Row],[region]],"-")</f>
        <v>EU</v>
      </c>
      <c r="L477" s="8" t="str">
        <f>_xlfn.TEXTAFTER(tbl_SaaS_Audit[[#This Row],[region]],"-")</f>
        <v>CENTRAL</v>
      </c>
      <c r="M477" s="8">
        <f t="shared" si="7"/>
        <v>32</v>
      </c>
      <c r="N477" s="4">
        <f>tbl_SaaS_Audit[[#This Row],[Tenure_Months]]*tbl_SaaS_Audit[[#This Row],[Monthly_Revenue]]</f>
        <v>452465.91999999998</v>
      </c>
      <c r="O477" s="3" t="str" cm="1">
        <f t="array" ref="O47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77" s="4" cm="1">
        <f t="array" ref="P477">_xlfn.IFS(tbl_SaaS_Audit[[#This Row],[Risk_Level]]="CRITICAL RISK",tbl_SaaS_Audit[[#This Row],[Monthly_Revenue]]*12,TRUE,0)</f>
        <v>0</v>
      </c>
    </row>
    <row r="478" spans="1:16">
      <c r="A478" s="1">
        <v>477</v>
      </c>
      <c r="B478" s="1" t="s">
        <v>304</v>
      </c>
      <c r="C478" s="1" t="s">
        <v>11</v>
      </c>
      <c r="D478" s="2">
        <v>45833</v>
      </c>
      <c r="E478" s="1" t="s">
        <v>41</v>
      </c>
      <c r="F478" s="4">
        <v>11049.58</v>
      </c>
      <c r="G478" s="1" t="s">
        <v>33</v>
      </c>
      <c r="H478" s="2">
        <v>46174</v>
      </c>
      <c r="I478" s="1">
        <v>18</v>
      </c>
      <c r="J478" s="1" t="s">
        <v>45</v>
      </c>
      <c r="K478" s="1" t="str">
        <f>_xlfn.TEXTBEFORE(tbl_SaaS_Audit[[#This Row],[region]],"-")</f>
        <v>EU</v>
      </c>
      <c r="L478" s="8" t="str">
        <f>_xlfn.TEXTAFTER(tbl_SaaS_Audit[[#This Row],[region]],"-")</f>
        <v>CENTRAL</v>
      </c>
      <c r="M478" s="8">
        <f t="shared" si="7"/>
        <v>12</v>
      </c>
      <c r="N478" s="4">
        <f>tbl_SaaS_Audit[[#This Row],[Tenure_Months]]*tbl_SaaS_Audit[[#This Row],[Monthly_Revenue]]</f>
        <v>132594.96</v>
      </c>
      <c r="O478" s="3" t="str" cm="1">
        <f t="array" ref="O47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78" s="4" cm="1">
        <f t="array" ref="P478">_xlfn.IFS(tbl_SaaS_Audit[[#This Row],[Risk_Level]]="CRITICAL RISK",tbl_SaaS_Audit[[#This Row],[Monthly_Revenue]]*12,TRUE,0)</f>
        <v>0</v>
      </c>
    </row>
    <row r="479" spans="1:16">
      <c r="A479" s="1">
        <v>478</v>
      </c>
      <c r="B479" s="1" t="s">
        <v>305</v>
      </c>
      <c r="C479" s="1" t="s">
        <v>13</v>
      </c>
      <c r="D479" s="2">
        <v>45531</v>
      </c>
      <c r="E479" s="1" t="s">
        <v>32</v>
      </c>
      <c r="F479" s="4">
        <v>1957.13</v>
      </c>
      <c r="G479" s="1" t="s">
        <v>36</v>
      </c>
      <c r="H479" s="2">
        <v>46227</v>
      </c>
      <c r="I479" s="1">
        <v>1</v>
      </c>
      <c r="J479" s="1" t="s">
        <v>45</v>
      </c>
      <c r="K479" s="1" t="str">
        <f>_xlfn.TEXTBEFORE(tbl_SaaS_Audit[[#This Row],[region]],"-")</f>
        <v>EU</v>
      </c>
      <c r="L479" s="8" t="str">
        <f>_xlfn.TEXTAFTER(tbl_SaaS_Audit[[#This Row],[region]],"-")</f>
        <v>CENTRAL</v>
      </c>
      <c r="M479" s="8">
        <f t="shared" si="7"/>
        <v>25</v>
      </c>
      <c r="N479" s="4">
        <f>tbl_SaaS_Audit[[#This Row],[Tenure_Months]]*tbl_SaaS_Audit[[#This Row],[Monthly_Revenue]]</f>
        <v>48928.25</v>
      </c>
      <c r="O479" s="3" t="str" cm="1">
        <f t="array" ref="O47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79" s="4" cm="1">
        <f t="array" ref="P479">_xlfn.IFS(tbl_SaaS_Audit[[#This Row],[Risk_Level]]="CRITICAL RISK",tbl_SaaS_Audit[[#This Row],[Monthly_Revenue]]*12,TRUE,0)</f>
        <v>0</v>
      </c>
    </row>
    <row r="480" spans="1:16">
      <c r="A480" s="1">
        <v>479</v>
      </c>
      <c r="B480" s="1" t="s">
        <v>44</v>
      </c>
      <c r="C480" s="1" t="s">
        <v>12</v>
      </c>
      <c r="D480" s="2">
        <v>45630</v>
      </c>
      <c r="E480" s="1" t="s">
        <v>39</v>
      </c>
      <c r="F480" s="4">
        <v>6908.7</v>
      </c>
      <c r="G480" s="1" t="s">
        <v>33</v>
      </c>
      <c r="H480" s="2">
        <v>45995</v>
      </c>
      <c r="I480" s="1">
        <v>1</v>
      </c>
      <c r="J480" s="1" t="s">
        <v>37</v>
      </c>
      <c r="K480" s="1" t="str">
        <f>_xlfn.TEXTBEFORE(tbl_SaaS_Audit[[#This Row],[region]],"-")</f>
        <v>MEA</v>
      </c>
      <c r="L480" s="8" t="str">
        <f>_xlfn.TEXTAFTER(tbl_SaaS_Audit[[#This Row],[region]],"-")</f>
        <v>EGY</v>
      </c>
      <c r="M480" s="8">
        <f t="shared" si="7"/>
        <v>12</v>
      </c>
      <c r="N480" s="4">
        <f>tbl_SaaS_Audit[[#This Row],[Tenure_Months]]*tbl_SaaS_Audit[[#This Row],[Monthly_Revenue]]</f>
        <v>82904.399999999994</v>
      </c>
      <c r="O480" s="3" t="str" cm="1">
        <f t="array" ref="O48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80" s="4" cm="1">
        <f t="array" ref="P480">_xlfn.IFS(tbl_SaaS_Audit[[#This Row],[Risk_Level]]="CRITICAL RISK",tbl_SaaS_Audit[[#This Row],[Monthly_Revenue]]*12,TRUE,0)</f>
        <v>0</v>
      </c>
    </row>
    <row r="481" spans="1:16">
      <c r="A481" s="1">
        <v>480</v>
      </c>
      <c r="B481" s="1" t="s">
        <v>306</v>
      </c>
      <c r="C481" s="1" t="s">
        <v>11</v>
      </c>
      <c r="D481" s="2">
        <v>45488</v>
      </c>
      <c r="E481" s="1" t="s">
        <v>41</v>
      </c>
      <c r="F481" s="4">
        <v>3618.41</v>
      </c>
      <c r="G481" s="1" t="s">
        <v>36</v>
      </c>
      <c r="H481" s="2">
        <v>46064</v>
      </c>
      <c r="I481" s="1">
        <v>9</v>
      </c>
      <c r="J481" s="1" t="s">
        <v>47</v>
      </c>
      <c r="K481" s="1" t="str">
        <f>_xlfn.TEXTBEFORE(tbl_SaaS_Audit[[#This Row],[region]],"-")</f>
        <v>NA</v>
      </c>
      <c r="L481" s="8" t="str">
        <f>_xlfn.TEXTAFTER(tbl_SaaS_Audit[[#This Row],[region]],"-")</f>
        <v>WEST</v>
      </c>
      <c r="M481" s="8">
        <f t="shared" si="7"/>
        <v>26</v>
      </c>
      <c r="N481" s="4">
        <f>tbl_SaaS_Audit[[#This Row],[Tenure_Months]]*tbl_SaaS_Audit[[#This Row],[Monthly_Revenue]]</f>
        <v>94078.66</v>
      </c>
      <c r="O481" s="3" t="str" cm="1">
        <f t="array" ref="O48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81" s="4" cm="1">
        <f t="array" ref="P481">_xlfn.IFS(tbl_SaaS_Audit[[#This Row],[Risk_Level]]="CRITICAL RISK",tbl_SaaS_Audit[[#This Row],[Monthly_Revenue]]*12,TRUE,0)</f>
        <v>0</v>
      </c>
    </row>
    <row r="482" spans="1:16">
      <c r="A482" s="1">
        <v>481</v>
      </c>
      <c r="B482" s="1" t="s">
        <v>307</v>
      </c>
      <c r="C482" s="1" t="s">
        <v>11</v>
      </c>
      <c r="D482" s="2">
        <v>45299</v>
      </c>
      <c r="E482" s="1" t="s">
        <v>39</v>
      </c>
      <c r="F482" s="4">
        <v>5801.16</v>
      </c>
      <c r="G482" s="1" t="s">
        <v>36</v>
      </c>
      <c r="H482" s="2">
        <v>45932</v>
      </c>
      <c r="I482" s="1">
        <v>3</v>
      </c>
      <c r="J482" s="1" t="s">
        <v>45</v>
      </c>
      <c r="K482" s="1" t="str">
        <f>_xlfn.TEXTBEFORE(tbl_SaaS_Audit[[#This Row],[region]],"-")</f>
        <v>EU</v>
      </c>
      <c r="L482" s="8" t="str">
        <f>_xlfn.TEXTAFTER(tbl_SaaS_Audit[[#This Row],[region]],"-")</f>
        <v>CENTRAL</v>
      </c>
      <c r="M482" s="8">
        <f t="shared" si="7"/>
        <v>32</v>
      </c>
      <c r="N482" s="4">
        <f>tbl_SaaS_Audit[[#This Row],[Tenure_Months]]*tbl_SaaS_Audit[[#This Row],[Monthly_Revenue]]</f>
        <v>185637.12</v>
      </c>
      <c r="O482" s="3" t="str" cm="1">
        <f t="array" ref="O48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82" s="4" cm="1">
        <f t="array" ref="P482">_xlfn.IFS(tbl_SaaS_Audit[[#This Row],[Risk_Level]]="CRITICAL RISK",tbl_SaaS_Audit[[#This Row],[Monthly_Revenue]]*12,TRUE,0)</f>
        <v>0</v>
      </c>
    </row>
    <row r="483" spans="1:16">
      <c r="A483" s="1">
        <v>482</v>
      </c>
      <c r="B483" s="1" t="s">
        <v>308</v>
      </c>
      <c r="C483" s="1" t="s">
        <v>12</v>
      </c>
      <c r="D483" s="2">
        <v>45572</v>
      </c>
      <c r="E483" s="1" t="s">
        <v>39</v>
      </c>
      <c r="F483" s="4">
        <v>721.84</v>
      </c>
      <c r="G483" s="1" t="s">
        <v>49</v>
      </c>
      <c r="H483" s="2">
        <v>45937</v>
      </c>
      <c r="I483" s="1">
        <v>2</v>
      </c>
      <c r="J483" s="1" t="s">
        <v>34</v>
      </c>
      <c r="K483" s="1" t="str">
        <f>_xlfn.TEXTBEFORE(tbl_SaaS_Audit[[#This Row],[region]],"-")</f>
        <v>APAC</v>
      </c>
      <c r="L483" s="8" t="str">
        <f>_xlfn.TEXTAFTER(tbl_SaaS_Audit[[#This Row],[region]],"-")</f>
        <v>SGP</v>
      </c>
      <c r="M483" s="8">
        <f t="shared" si="7"/>
        <v>23</v>
      </c>
      <c r="N483" s="4">
        <f>tbl_SaaS_Audit[[#This Row],[Tenure_Months]]*tbl_SaaS_Audit[[#This Row],[Monthly_Revenue]]</f>
        <v>16602.32</v>
      </c>
      <c r="O483" s="3" t="str" cm="1">
        <f t="array" ref="O48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83" s="4" cm="1">
        <f t="array" ref="P483">_xlfn.IFS(tbl_SaaS_Audit[[#This Row],[Risk_Level]]="CRITICAL RISK",tbl_SaaS_Audit[[#This Row],[Monthly_Revenue]]*12,TRUE,0)</f>
        <v>0</v>
      </c>
    </row>
    <row r="484" spans="1:16">
      <c r="A484" s="1">
        <v>483</v>
      </c>
      <c r="B484" s="1" t="s">
        <v>101</v>
      </c>
      <c r="C484" s="1" t="s">
        <v>15</v>
      </c>
      <c r="D484" s="2">
        <v>45458</v>
      </c>
      <c r="E484" s="1" t="s">
        <v>32</v>
      </c>
      <c r="F484" s="4">
        <v>6915.61</v>
      </c>
      <c r="G484" s="1" t="s">
        <v>49</v>
      </c>
      <c r="H484" s="2">
        <v>46251</v>
      </c>
      <c r="I484" s="1">
        <v>14</v>
      </c>
      <c r="J484" s="1" t="s">
        <v>34</v>
      </c>
      <c r="K484" s="1" t="str">
        <f>_xlfn.TEXTBEFORE(tbl_SaaS_Audit[[#This Row],[region]],"-")</f>
        <v>APAC</v>
      </c>
      <c r="L484" s="8" t="str">
        <f>_xlfn.TEXTAFTER(tbl_SaaS_Audit[[#This Row],[region]],"-")</f>
        <v>SGP</v>
      </c>
      <c r="M484" s="8">
        <f t="shared" si="7"/>
        <v>27</v>
      </c>
      <c r="N484" s="4">
        <f>tbl_SaaS_Audit[[#This Row],[Tenure_Months]]*tbl_SaaS_Audit[[#This Row],[Monthly_Revenue]]</f>
        <v>186721.47</v>
      </c>
      <c r="O484" s="3" t="str" cm="1">
        <f t="array" ref="O48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84" s="4" cm="1">
        <f t="array" ref="P484">_xlfn.IFS(tbl_SaaS_Audit[[#This Row],[Risk_Level]]="CRITICAL RISK",tbl_SaaS_Audit[[#This Row],[Monthly_Revenue]]*12,TRUE,0)</f>
        <v>0</v>
      </c>
    </row>
    <row r="485" spans="1:16">
      <c r="A485" s="1">
        <v>484</v>
      </c>
      <c r="B485" s="1" t="s">
        <v>292</v>
      </c>
      <c r="C485" s="1" t="s">
        <v>11</v>
      </c>
      <c r="D485" s="2">
        <v>45653</v>
      </c>
      <c r="E485" s="1" t="s">
        <v>32</v>
      </c>
      <c r="F485" s="4">
        <v>1435.19</v>
      </c>
      <c r="G485" s="1" t="s">
        <v>36</v>
      </c>
      <c r="H485" s="2">
        <v>46219</v>
      </c>
      <c r="I485" s="1">
        <v>2</v>
      </c>
      <c r="J485" s="1" t="s">
        <v>37</v>
      </c>
      <c r="K485" s="1" t="str">
        <f>_xlfn.TEXTBEFORE(tbl_SaaS_Audit[[#This Row],[region]],"-")</f>
        <v>MEA</v>
      </c>
      <c r="L485" s="8" t="str">
        <f>_xlfn.TEXTAFTER(tbl_SaaS_Audit[[#This Row],[region]],"-")</f>
        <v>EGY</v>
      </c>
      <c r="M485" s="8">
        <f t="shared" si="7"/>
        <v>21</v>
      </c>
      <c r="N485" s="4">
        <f>tbl_SaaS_Audit[[#This Row],[Tenure_Months]]*tbl_SaaS_Audit[[#This Row],[Monthly_Revenue]]</f>
        <v>30138.99</v>
      </c>
      <c r="O485" s="3" t="str" cm="1">
        <f t="array" ref="O48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85" s="4" cm="1">
        <f t="array" ref="P485">_xlfn.IFS(tbl_SaaS_Audit[[#This Row],[Risk_Level]]="CRITICAL RISK",tbl_SaaS_Audit[[#This Row],[Monthly_Revenue]]*12,TRUE,0)</f>
        <v>0</v>
      </c>
    </row>
    <row r="486" spans="1:16">
      <c r="A486" s="1">
        <v>485</v>
      </c>
      <c r="B486" s="1" t="s">
        <v>309</v>
      </c>
      <c r="C486" s="1" t="s">
        <v>13</v>
      </c>
      <c r="D486" s="2">
        <v>45486</v>
      </c>
      <c r="E486" s="1" t="s">
        <v>32</v>
      </c>
      <c r="F486" s="4">
        <v>7588.25</v>
      </c>
      <c r="G486" s="1" t="s">
        <v>49</v>
      </c>
      <c r="H486" s="2">
        <v>45945</v>
      </c>
      <c r="I486" s="1">
        <v>11</v>
      </c>
      <c r="J486" s="1" t="s">
        <v>37</v>
      </c>
      <c r="K486" s="1" t="str">
        <f>_xlfn.TEXTBEFORE(tbl_SaaS_Audit[[#This Row],[region]],"-")</f>
        <v>MEA</v>
      </c>
      <c r="L486" s="8" t="str">
        <f>_xlfn.TEXTAFTER(tbl_SaaS_Audit[[#This Row],[region]],"-")</f>
        <v>EGY</v>
      </c>
      <c r="M486" s="8">
        <f t="shared" si="7"/>
        <v>26</v>
      </c>
      <c r="N486" s="4">
        <f>tbl_SaaS_Audit[[#This Row],[Tenure_Months]]*tbl_SaaS_Audit[[#This Row],[Monthly_Revenue]]</f>
        <v>197294.5</v>
      </c>
      <c r="O486" s="3" t="str" cm="1">
        <f t="array" ref="O48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86" s="4" cm="1">
        <f t="array" ref="P486">_xlfn.IFS(tbl_SaaS_Audit[[#This Row],[Risk_Level]]="CRITICAL RISK",tbl_SaaS_Audit[[#This Row],[Monthly_Revenue]]*12,TRUE,0)</f>
        <v>0</v>
      </c>
    </row>
    <row r="487" spans="1:16">
      <c r="A487" s="1">
        <v>486</v>
      </c>
      <c r="B487" s="1" t="s">
        <v>310</v>
      </c>
      <c r="C487" s="1" t="s">
        <v>15</v>
      </c>
      <c r="D487" s="2">
        <v>45678</v>
      </c>
      <c r="E487" s="1" t="s">
        <v>39</v>
      </c>
      <c r="F487" s="4">
        <v>11040.42</v>
      </c>
      <c r="G487" s="1" t="s">
        <v>33</v>
      </c>
      <c r="H487" s="2">
        <v>45852</v>
      </c>
      <c r="I487" s="1">
        <v>17</v>
      </c>
      <c r="J487" s="1" t="s">
        <v>45</v>
      </c>
      <c r="K487" s="1" t="str">
        <f>_xlfn.TEXTBEFORE(tbl_SaaS_Audit[[#This Row],[region]],"-")</f>
        <v>EU</v>
      </c>
      <c r="L487" s="8" t="str">
        <f>_xlfn.TEXTAFTER(tbl_SaaS_Audit[[#This Row],[region]],"-")</f>
        <v>CENTRAL</v>
      </c>
      <c r="M487" s="8">
        <f t="shared" si="7"/>
        <v>6</v>
      </c>
      <c r="N487" s="4">
        <f>tbl_SaaS_Audit[[#This Row],[Tenure_Months]]*tbl_SaaS_Audit[[#This Row],[Monthly_Revenue]]</f>
        <v>66242.52</v>
      </c>
      <c r="O487" s="3" t="str" cm="1">
        <f t="array" ref="O48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87" s="4" cm="1">
        <f t="array" ref="P487">_xlfn.IFS(tbl_SaaS_Audit[[#This Row],[Risk_Level]]="CRITICAL RISK",tbl_SaaS_Audit[[#This Row],[Monthly_Revenue]]*12,TRUE,0)</f>
        <v>0</v>
      </c>
    </row>
    <row r="488" spans="1:16">
      <c r="A488" s="1">
        <v>487</v>
      </c>
      <c r="B488" s="1" t="s">
        <v>138</v>
      </c>
      <c r="C488" s="1" t="s">
        <v>13</v>
      </c>
      <c r="D488" s="2">
        <v>45800</v>
      </c>
      <c r="E488" s="1" t="s">
        <v>32</v>
      </c>
      <c r="F488" s="4">
        <v>12914.69</v>
      </c>
      <c r="G488" s="1" t="s">
        <v>42</v>
      </c>
      <c r="H488" s="2">
        <v>46130</v>
      </c>
      <c r="I488" s="1">
        <v>15</v>
      </c>
      <c r="J488" s="1" t="s">
        <v>34</v>
      </c>
      <c r="K488" s="1" t="str">
        <f>_xlfn.TEXTBEFORE(tbl_SaaS_Audit[[#This Row],[region]],"-")</f>
        <v>APAC</v>
      </c>
      <c r="L488" s="8" t="str">
        <f>_xlfn.TEXTAFTER(tbl_SaaS_Audit[[#This Row],[region]],"-")</f>
        <v>SGP</v>
      </c>
      <c r="M488" s="8">
        <f t="shared" si="7"/>
        <v>16</v>
      </c>
      <c r="N488" s="4">
        <f>tbl_SaaS_Audit[[#This Row],[Tenure_Months]]*tbl_SaaS_Audit[[#This Row],[Monthly_Revenue]]</f>
        <v>206635.04</v>
      </c>
      <c r="O488" s="3" t="str" cm="1">
        <f t="array" ref="O48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88" s="4" cm="1">
        <f t="array" ref="P488">_xlfn.IFS(tbl_SaaS_Audit[[#This Row],[Risk_Level]]="CRITICAL RISK",tbl_SaaS_Audit[[#This Row],[Monthly_Revenue]]*12,TRUE,0)</f>
        <v>154976.28</v>
      </c>
    </row>
    <row r="489" spans="1:16">
      <c r="A489" s="1">
        <v>488</v>
      </c>
      <c r="B489" s="1" t="s">
        <v>311</v>
      </c>
      <c r="C489" s="1" t="s">
        <v>12</v>
      </c>
      <c r="D489" s="2">
        <v>45464</v>
      </c>
      <c r="E489" s="1" t="s">
        <v>39</v>
      </c>
      <c r="F489" s="4">
        <v>1272.54</v>
      </c>
      <c r="G489" s="1" t="s">
        <v>42</v>
      </c>
      <c r="H489" s="2">
        <v>45936</v>
      </c>
      <c r="I489" s="1">
        <v>4</v>
      </c>
      <c r="J489" s="1" t="s">
        <v>37</v>
      </c>
      <c r="K489" s="1" t="str">
        <f>_xlfn.TEXTBEFORE(tbl_SaaS_Audit[[#This Row],[region]],"-")</f>
        <v>MEA</v>
      </c>
      <c r="L489" s="8" t="str">
        <f>_xlfn.TEXTAFTER(tbl_SaaS_Audit[[#This Row],[region]],"-")</f>
        <v>EGY</v>
      </c>
      <c r="M489" s="8">
        <f t="shared" si="7"/>
        <v>27</v>
      </c>
      <c r="N489" s="4">
        <f>tbl_SaaS_Audit[[#This Row],[Tenure_Months]]*tbl_SaaS_Audit[[#This Row],[Monthly_Revenue]]</f>
        <v>34358.58</v>
      </c>
      <c r="O489" s="3" t="str" cm="1">
        <f t="array" ref="O48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89" s="4" cm="1">
        <f t="array" ref="P489">_xlfn.IFS(tbl_SaaS_Audit[[#This Row],[Risk_Level]]="CRITICAL RISK",tbl_SaaS_Audit[[#This Row],[Monthly_Revenue]]*12,TRUE,0)</f>
        <v>0</v>
      </c>
    </row>
    <row r="490" spans="1:16">
      <c r="A490" s="1">
        <v>489</v>
      </c>
      <c r="B490" s="1" t="s">
        <v>312</v>
      </c>
      <c r="C490" s="1" t="s">
        <v>13</v>
      </c>
      <c r="D490" s="2">
        <v>45560</v>
      </c>
      <c r="E490" s="1" t="s">
        <v>32</v>
      </c>
      <c r="F490" s="4">
        <v>14941.07</v>
      </c>
      <c r="G490" s="1" t="s">
        <v>49</v>
      </c>
      <c r="H490" s="1"/>
      <c r="I490" s="1">
        <v>3</v>
      </c>
      <c r="J490" s="1" t="s">
        <v>37</v>
      </c>
      <c r="K490" s="1" t="str">
        <f>_xlfn.TEXTBEFORE(tbl_SaaS_Audit[[#This Row],[region]],"-")</f>
        <v>MEA</v>
      </c>
      <c r="L490" s="8" t="str">
        <f>_xlfn.TEXTAFTER(tbl_SaaS_Audit[[#This Row],[region]],"-")</f>
        <v>EGY</v>
      </c>
      <c r="M490" s="8">
        <f t="shared" si="7"/>
        <v>24</v>
      </c>
      <c r="N490" s="4">
        <f>tbl_SaaS_Audit[[#This Row],[Tenure_Months]]*tbl_SaaS_Audit[[#This Row],[Monthly_Revenue]]</f>
        <v>358585.68</v>
      </c>
      <c r="O490" s="3" t="str" cm="1">
        <f t="array" ref="O49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90" s="4" cm="1">
        <f t="array" ref="P490">_xlfn.IFS(tbl_SaaS_Audit[[#This Row],[Risk_Level]]="CRITICAL RISK",tbl_SaaS_Audit[[#This Row],[Monthly_Revenue]]*12,TRUE,0)</f>
        <v>0</v>
      </c>
    </row>
    <row r="491" spans="1:16">
      <c r="A491" s="1">
        <v>490</v>
      </c>
      <c r="B491" s="1" t="s">
        <v>67</v>
      </c>
      <c r="C491" s="1" t="s">
        <v>13</v>
      </c>
      <c r="D491" s="2">
        <v>45572</v>
      </c>
      <c r="E491" s="1" t="s">
        <v>32</v>
      </c>
      <c r="F491" s="4">
        <v>10155.84</v>
      </c>
      <c r="G491" s="1" t="s">
        <v>36</v>
      </c>
      <c r="H491" s="1"/>
      <c r="I491" s="1">
        <v>4</v>
      </c>
      <c r="J491" s="1" t="s">
        <v>47</v>
      </c>
      <c r="K491" s="1" t="str">
        <f>_xlfn.TEXTBEFORE(tbl_SaaS_Audit[[#This Row],[region]],"-")</f>
        <v>NA</v>
      </c>
      <c r="L491" s="8" t="str">
        <f>_xlfn.TEXTAFTER(tbl_SaaS_Audit[[#This Row],[region]],"-")</f>
        <v>WEST</v>
      </c>
      <c r="M491" s="8">
        <f t="shared" si="7"/>
        <v>23</v>
      </c>
      <c r="N491" s="4">
        <f>tbl_SaaS_Audit[[#This Row],[Tenure_Months]]*tbl_SaaS_Audit[[#This Row],[Monthly_Revenue]]</f>
        <v>233584.32</v>
      </c>
      <c r="O491" s="3" t="str" cm="1">
        <f t="array" ref="O49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91" s="4" cm="1">
        <f t="array" ref="P491">_xlfn.IFS(tbl_SaaS_Audit[[#This Row],[Risk_Level]]="CRITICAL RISK",tbl_SaaS_Audit[[#This Row],[Monthly_Revenue]]*12,TRUE,0)</f>
        <v>0</v>
      </c>
    </row>
    <row r="492" spans="1:16">
      <c r="A492" s="1">
        <v>491</v>
      </c>
      <c r="B492" s="1" t="s">
        <v>313</v>
      </c>
      <c r="C492" s="1" t="s">
        <v>13</v>
      </c>
      <c r="D492" s="2">
        <v>45588</v>
      </c>
      <c r="E492" s="1" t="s">
        <v>32</v>
      </c>
      <c r="F492" s="4">
        <v>4447.33</v>
      </c>
      <c r="G492" s="1" t="s">
        <v>42</v>
      </c>
      <c r="H492" s="2">
        <v>45840</v>
      </c>
      <c r="I492" s="1">
        <v>6</v>
      </c>
      <c r="J492" s="1" t="s">
        <v>45</v>
      </c>
      <c r="K492" s="1" t="str">
        <f>_xlfn.TEXTBEFORE(tbl_SaaS_Audit[[#This Row],[region]],"-")</f>
        <v>EU</v>
      </c>
      <c r="L492" s="8" t="str">
        <f>_xlfn.TEXTAFTER(tbl_SaaS_Audit[[#This Row],[region]],"-")</f>
        <v>CENTRAL</v>
      </c>
      <c r="M492" s="8">
        <f t="shared" si="7"/>
        <v>23</v>
      </c>
      <c r="N492" s="4">
        <f>tbl_SaaS_Audit[[#This Row],[Tenure_Months]]*tbl_SaaS_Audit[[#This Row],[Monthly_Revenue]]</f>
        <v>102288.59</v>
      </c>
      <c r="O492" s="3" t="str" cm="1">
        <f t="array" ref="O49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92" s="4" cm="1">
        <f t="array" ref="P492">_xlfn.IFS(tbl_SaaS_Audit[[#This Row],[Risk_Level]]="CRITICAL RISK",tbl_SaaS_Audit[[#This Row],[Monthly_Revenue]]*12,TRUE,0)</f>
        <v>0</v>
      </c>
    </row>
    <row r="493" spans="1:16">
      <c r="A493" s="1">
        <v>492</v>
      </c>
      <c r="B493" s="1" t="s">
        <v>314</v>
      </c>
      <c r="C493" s="1" t="s">
        <v>12</v>
      </c>
      <c r="D493" s="2">
        <v>45799</v>
      </c>
      <c r="E493" s="1" t="s">
        <v>39</v>
      </c>
      <c r="F493" s="4">
        <v>5947.56</v>
      </c>
      <c r="G493" s="1" t="s">
        <v>49</v>
      </c>
      <c r="H493" s="2">
        <v>45966</v>
      </c>
      <c r="I493" s="1">
        <v>9</v>
      </c>
      <c r="J493" s="1" t="s">
        <v>47</v>
      </c>
      <c r="K493" s="1" t="str">
        <f>_xlfn.TEXTBEFORE(tbl_SaaS_Audit[[#This Row],[region]],"-")</f>
        <v>NA</v>
      </c>
      <c r="L493" s="8" t="str">
        <f>_xlfn.TEXTAFTER(tbl_SaaS_Audit[[#This Row],[region]],"-")</f>
        <v>WEST</v>
      </c>
      <c r="M493" s="8">
        <f t="shared" si="7"/>
        <v>16</v>
      </c>
      <c r="N493" s="4">
        <f>tbl_SaaS_Audit[[#This Row],[Tenure_Months]]*tbl_SaaS_Audit[[#This Row],[Monthly_Revenue]]</f>
        <v>95160.960000000006</v>
      </c>
      <c r="O493" s="3" t="str" cm="1">
        <f t="array" ref="O49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93" s="4" cm="1">
        <f t="array" ref="P493">_xlfn.IFS(tbl_SaaS_Audit[[#This Row],[Risk_Level]]="CRITICAL RISK",tbl_SaaS_Audit[[#This Row],[Monthly_Revenue]]*12,TRUE,0)</f>
        <v>0</v>
      </c>
    </row>
    <row r="494" spans="1:16">
      <c r="A494" s="1">
        <v>493</v>
      </c>
      <c r="B494" s="1" t="s">
        <v>74</v>
      </c>
      <c r="C494" s="1" t="s">
        <v>12</v>
      </c>
      <c r="D494" s="2">
        <v>45652</v>
      </c>
      <c r="E494" s="1" t="s">
        <v>41</v>
      </c>
      <c r="F494" s="4">
        <v>7636.86</v>
      </c>
      <c r="G494" s="1" t="s">
        <v>36</v>
      </c>
      <c r="H494" s="2">
        <v>46160</v>
      </c>
      <c r="I494" s="1">
        <v>2</v>
      </c>
      <c r="J494" s="1" t="s">
        <v>47</v>
      </c>
      <c r="K494" s="1" t="str">
        <f>_xlfn.TEXTBEFORE(tbl_SaaS_Audit[[#This Row],[region]],"-")</f>
        <v>NA</v>
      </c>
      <c r="L494" s="8" t="str">
        <f>_xlfn.TEXTAFTER(tbl_SaaS_Audit[[#This Row],[region]],"-")</f>
        <v>WEST</v>
      </c>
      <c r="M494" s="8">
        <f t="shared" si="7"/>
        <v>21</v>
      </c>
      <c r="N494" s="4">
        <f>tbl_SaaS_Audit[[#This Row],[Tenure_Months]]*tbl_SaaS_Audit[[#This Row],[Monthly_Revenue]]</f>
        <v>160374.06</v>
      </c>
      <c r="O494" s="3" t="str" cm="1">
        <f t="array" ref="O49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94" s="4" cm="1">
        <f t="array" ref="P494">_xlfn.IFS(tbl_SaaS_Audit[[#This Row],[Risk_Level]]="CRITICAL RISK",tbl_SaaS_Audit[[#This Row],[Monthly_Revenue]]*12,TRUE,0)</f>
        <v>0</v>
      </c>
    </row>
    <row r="495" spans="1:16">
      <c r="A495" s="1">
        <v>494</v>
      </c>
      <c r="B495" s="1" t="s">
        <v>287</v>
      </c>
      <c r="C495" s="1" t="s">
        <v>12</v>
      </c>
      <c r="D495" s="2">
        <v>45339</v>
      </c>
      <c r="E495" s="1" t="s">
        <v>41</v>
      </c>
      <c r="F495" s="4">
        <v>9906.06</v>
      </c>
      <c r="G495" s="1" t="s">
        <v>36</v>
      </c>
      <c r="H495" s="1"/>
      <c r="I495" s="1">
        <v>6</v>
      </c>
      <c r="J495" s="1" t="s">
        <v>51</v>
      </c>
      <c r="K495" s="1" t="str">
        <f>_xlfn.TEXTBEFORE(tbl_SaaS_Audit[[#This Row],[region]],"-")</f>
        <v>NA</v>
      </c>
      <c r="L495" s="8" t="str">
        <f>_xlfn.TEXTAFTER(tbl_SaaS_Audit[[#This Row],[region]],"-")</f>
        <v>EAST</v>
      </c>
      <c r="M495" s="8">
        <f t="shared" si="7"/>
        <v>31</v>
      </c>
      <c r="N495" s="4">
        <f>tbl_SaaS_Audit[[#This Row],[Tenure_Months]]*tbl_SaaS_Audit[[#This Row],[Monthly_Revenue]]</f>
        <v>307087.86</v>
      </c>
      <c r="O495" s="3" t="str" cm="1">
        <f t="array" ref="O49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95" s="4" cm="1">
        <f t="array" ref="P495">_xlfn.IFS(tbl_SaaS_Audit[[#This Row],[Risk_Level]]="CRITICAL RISK",tbl_SaaS_Audit[[#This Row],[Monthly_Revenue]]*12,TRUE,0)</f>
        <v>0</v>
      </c>
    </row>
    <row r="496" spans="1:16">
      <c r="A496" s="1">
        <v>495</v>
      </c>
      <c r="B496" s="1" t="s">
        <v>71</v>
      </c>
      <c r="C496" s="1" t="s">
        <v>11</v>
      </c>
      <c r="D496" s="2">
        <v>45677</v>
      </c>
      <c r="E496" s="1" t="s">
        <v>39</v>
      </c>
      <c r="F496" s="4">
        <v>10215.19</v>
      </c>
      <c r="G496" s="1" t="s">
        <v>42</v>
      </c>
      <c r="H496" s="2">
        <v>45905</v>
      </c>
      <c r="I496" s="1">
        <v>17</v>
      </c>
      <c r="J496" s="1" t="s">
        <v>51</v>
      </c>
      <c r="K496" s="1" t="str">
        <f>_xlfn.TEXTBEFORE(tbl_SaaS_Audit[[#This Row],[region]],"-")</f>
        <v>NA</v>
      </c>
      <c r="L496" s="8" t="str">
        <f>_xlfn.TEXTAFTER(tbl_SaaS_Audit[[#This Row],[region]],"-")</f>
        <v>EAST</v>
      </c>
      <c r="M496" s="8">
        <f t="shared" si="7"/>
        <v>20</v>
      </c>
      <c r="N496" s="4">
        <f>tbl_SaaS_Audit[[#This Row],[Tenure_Months]]*tbl_SaaS_Audit[[#This Row],[Monthly_Revenue]]</f>
        <v>204303.80000000002</v>
      </c>
      <c r="O496" s="3" t="str" cm="1">
        <f t="array" ref="O49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496" s="4" cm="1">
        <f t="array" ref="P496">_xlfn.IFS(tbl_SaaS_Audit[[#This Row],[Risk_Level]]="CRITICAL RISK",tbl_SaaS_Audit[[#This Row],[Monthly_Revenue]]*12,TRUE,0)</f>
        <v>122582.28</v>
      </c>
    </row>
    <row r="497" spans="1:16">
      <c r="A497" s="1">
        <v>496</v>
      </c>
      <c r="B497" s="1" t="s">
        <v>193</v>
      </c>
      <c r="C497" s="1" t="s">
        <v>11</v>
      </c>
      <c r="D497" s="2">
        <v>45747</v>
      </c>
      <c r="E497" s="1" t="s">
        <v>39</v>
      </c>
      <c r="F497" s="4">
        <v>5056.79</v>
      </c>
      <c r="G497" s="1" t="s">
        <v>33</v>
      </c>
      <c r="H497" s="2">
        <v>46037</v>
      </c>
      <c r="I497" s="1">
        <v>10</v>
      </c>
      <c r="J497" s="1" t="s">
        <v>51</v>
      </c>
      <c r="K497" s="1" t="str">
        <f>_xlfn.TEXTBEFORE(tbl_SaaS_Audit[[#This Row],[region]],"-")</f>
        <v>NA</v>
      </c>
      <c r="L497" s="8" t="str">
        <f>_xlfn.TEXTAFTER(tbl_SaaS_Audit[[#This Row],[region]],"-")</f>
        <v>EAST</v>
      </c>
      <c r="M497" s="8">
        <f t="shared" si="7"/>
        <v>10</v>
      </c>
      <c r="N497" s="4">
        <f>tbl_SaaS_Audit[[#This Row],[Tenure_Months]]*tbl_SaaS_Audit[[#This Row],[Monthly_Revenue]]</f>
        <v>50567.9</v>
      </c>
      <c r="O497" s="3" t="str" cm="1">
        <f t="array" ref="O49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97" s="4" cm="1">
        <f t="array" ref="P497">_xlfn.IFS(tbl_SaaS_Audit[[#This Row],[Risk_Level]]="CRITICAL RISK",tbl_SaaS_Audit[[#This Row],[Monthly_Revenue]]*12,TRUE,0)</f>
        <v>0</v>
      </c>
    </row>
    <row r="498" spans="1:16">
      <c r="A498" s="1">
        <v>497</v>
      </c>
      <c r="B498" s="1" t="s">
        <v>93</v>
      </c>
      <c r="C498" s="1" t="s">
        <v>12</v>
      </c>
      <c r="D498" s="2">
        <v>45579</v>
      </c>
      <c r="E498" s="1" t="s">
        <v>32</v>
      </c>
      <c r="F498" s="4">
        <v>13410.79</v>
      </c>
      <c r="G498" s="1" t="s">
        <v>33</v>
      </c>
      <c r="H498" s="1"/>
      <c r="I498" s="1">
        <v>15</v>
      </c>
      <c r="J498" s="1" t="s">
        <v>51</v>
      </c>
      <c r="K498" s="1" t="str">
        <f>_xlfn.TEXTBEFORE(tbl_SaaS_Audit[[#This Row],[region]],"-")</f>
        <v>NA</v>
      </c>
      <c r="L498" s="8" t="str">
        <f>_xlfn.TEXTAFTER(tbl_SaaS_Audit[[#This Row],[region]],"-")</f>
        <v>EAST</v>
      </c>
      <c r="M498" s="8">
        <f t="shared" si="7"/>
        <v>23</v>
      </c>
      <c r="N498" s="4">
        <f>tbl_SaaS_Audit[[#This Row],[Tenure_Months]]*tbl_SaaS_Audit[[#This Row],[Monthly_Revenue]]</f>
        <v>308448.17000000004</v>
      </c>
      <c r="O498" s="3" t="str" cm="1">
        <f t="array" ref="O49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498" s="4" cm="1">
        <f t="array" ref="P498">_xlfn.IFS(tbl_SaaS_Audit[[#This Row],[Risk_Level]]="CRITICAL RISK",tbl_SaaS_Audit[[#This Row],[Monthly_Revenue]]*12,TRUE,0)</f>
        <v>0</v>
      </c>
    </row>
    <row r="499" spans="1:16">
      <c r="A499" s="1">
        <v>498</v>
      </c>
      <c r="B499" s="1" t="s">
        <v>176</v>
      </c>
      <c r="C499" s="1" t="s">
        <v>11</v>
      </c>
      <c r="D499" s="2">
        <v>45500</v>
      </c>
      <c r="E499" s="1" t="s">
        <v>39</v>
      </c>
      <c r="F499" s="4">
        <v>918.73</v>
      </c>
      <c r="G499" s="1" t="s">
        <v>49</v>
      </c>
      <c r="H499" s="1"/>
      <c r="I499" s="1">
        <v>12</v>
      </c>
      <c r="J499" s="1" t="s">
        <v>47</v>
      </c>
      <c r="K499" s="1" t="str">
        <f>_xlfn.TEXTBEFORE(tbl_SaaS_Audit[[#This Row],[region]],"-")</f>
        <v>NA</v>
      </c>
      <c r="L499" s="8" t="str">
        <f>_xlfn.TEXTAFTER(tbl_SaaS_Audit[[#This Row],[region]],"-")</f>
        <v>WEST</v>
      </c>
      <c r="M499" s="8">
        <f t="shared" si="7"/>
        <v>26</v>
      </c>
      <c r="N499" s="4">
        <f>tbl_SaaS_Audit[[#This Row],[Tenure_Months]]*tbl_SaaS_Audit[[#This Row],[Monthly_Revenue]]</f>
        <v>23886.98</v>
      </c>
      <c r="O499" s="3" t="str" cm="1">
        <f t="array" ref="O49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499" s="4" cm="1">
        <f t="array" ref="P499">_xlfn.IFS(tbl_SaaS_Audit[[#This Row],[Risk_Level]]="CRITICAL RISK",tbl_SaaS_Audit[[#This Row],[Monthly_Revenue]]*12,TRUE,0)</f>
        <v>0</v>
      </c>
    </row>
    <row r="500" spans="1:16">
      <c r="A500" s="1">
        <v>499</v>
      </c>
      <c r="B500" s="1" t="s">
        <v>315</v>
      </c>
      <c r="C500" s="1" t="s">
        <v>11</v>
      </c>
      <c r="D500" s="2">
        <v>45346</v>
      </c>
      <c r="E500" s="1" t="s">
        <v>39</v>
      </c>
      <c r="F500" s="4">
        <v>7408.36</v>
      </c>
      <c r="G500" s="1" t="s">
        <v>49</v>
      </c>
      <c r="H500" s="2">
        <v>46119</v>
      </c>
      <c r="I500" s="1">
        <v>15</v>
      </c>
      <c r="J500" s="1" t="s">
        <v>51</v>
      </c>
      <c r="K500" s="1" t="str">
        <f>_xlfn.TEXTBEFORE(tbl_SaaS_Audit[[#This Row],[region]],"-")</f>
        <v>NA</v>
      </c>
      <c r="L500" s="8" t="str">
        <f>_xlfn.TEXTAFTER(tbl_SaaS_Audit[[#This Row],[region]],"-")</f>
        <v>EAST</v>
      </c>
      <c r="M500" s="8">
        <f t="shared" si="7"/>
        <v>31</v>
      </c>
      <c r="N500" s="4">
        <f>tbl_SaaS_Audit[[#This Row],[Tenure_Months]]*tbl_SaaS_Audit[[#This Row],[Monthly_Revenue]]</f>
        <v>229659.16</v>
      </c>
      <c r="O500" s="3" t="str" cm="1">
        <f t="array" ref="O50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0" s="4" cm="1">
        <f t="array" ref="P500">_xlfn.IFS(tbl_SaaS_Audit[[#This Row],[Risk_Level]]="CRITICAL RISK",tbl_SaaS_Audit[[#This Row],[Monthly_Revenue]]*12,TRUE,0)</f>
        <v>0</v>
      </c>
    </row>
    <row r="501" spans="1:16">
      <c r="A501" s="1">
        <v>500</v>
      </c>
      <c r="B501" s="1" t="s">
        <v>87</v>
      </c>
      <c r="C501" s="1" t="s">
        <v>14</v>
      </c>
      <c r="D501" s="2">
        <v>45752</v>
      </c>
      <c r="E501" s="1" t="s">
        <v>41</v>
      </c>
      <c r="F501" s="4">
        <v>11662.95</v>
      </c>
      <c r="G501" s="1" t="s">
        <v>49</v>
      </c>
      <c r="H501" s="2">
        <v>45915</v>
      </c>
      <c r="I501" s="1">
        <v>15</v>
      </c>
      <c r="J501" s="1" t="s">
        <v>47</v>
      </c>
      <c r="K501" s="1" t="str">
        <f>_xlfn.TEXTBEFORE(tbl_SaaS_Audit[[#This Row],[region]],"-")</f>
        <v>NA</v>
      </c>
      <c r="L501" s="8" t="str">
        <f>_xlfn.TEXTAFTER(tbl_SaaS_Audit[[#This Row],[region]],"-")</f>
        <v>WEST</v>
      </c>
      <c r="M501" s="8">
        <f t="shared" si="7"/>
        <v>17</v>
      </c>
      <c r="N501" s="4">
        <f>tbl_SaaS_Audit[[#This Row],[Tenure_Months]]*tbl_SaaS_Audit[[#This Row],[Monthly_Revenue]]</f>
        <v>198270.15000000002</v>
      </c>
      <c r="O501" s="3" t="str" cm="1">
        <f t="array" ref="O50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1" s="4" cm="1">
        <f t="array" ref="P501">_xlfn.IFS(tbl_SaaS_Audit[[#This Row],[Risk_Level]]="CRITICAL RISK",tbl_SaaS_Audit[[#This Row],[Monthly_Revenue]]*12,TRUE,0)</f>
        <v>0</v>
      </c>
    </row>
    <row r="502" spans="1:16">
      <c r="A502" s="1">
        <v>501</v>
      </c>
      <c r="B502" s="1" t="s">
        <v>143</v>
      </c>
      <c r="C502" s="1" t="s">
        <v>15</v>
      </c>
      <c r="D502" s="2">
        <v>45292</v>
      </c>
      <c r="E502" s="1" t="s">
        <v>32</v>
      </c>
      <c r="F502" s="4">
        <v>7029.35</v>
      </c>
      <c r="G502" s="1" t="s">
        <v>42</v>
      </c>
      <c r="H502" s="2">
        <v>46205</v>
      </c>
      <c r="I502" s="1">
        <v>6</v>
      </c>
      <c r="J502" s="1" t="s">
        <v>47</v>
      </c>
      <c r="K502" s="1" t="str">
        <f>_xlfn.TEXTBEFORE(tbl_SaaS_Audit[[#This Row],[region]],"-")</f>
        <v>NA</v>
      </c>
      <c r="L502" s="8" t="str">
        <f>_xlfn.TEXTAFTER(tbl_SaaS_Audit[[#This Row],[region]],"-")</f>
        <v>WEST</v>
      </c>
      <c r="M502" s="8">
        <f t="shared" si="7"/>
        <v>32</v>
      </c>
      <c r="N502" s="4">
        <f>tbl_SaaS_Audit[[#This Row],[Tenure_Months]]*tbl_SaaS_Audit[[#This Row],[Monthly_Revenue]]</f>
        <v>224939.2</v>
      </c>
      <c r="O502" s="3" t="str" cm="1">
        <f t="array" ref="O50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2" s="4" cm="1">
        <f t="array" ref="P502">_xlfn.IFS(tbl_SaaS_Audit[[#This Row],[Risk_Level]]="CRITICAL RISK",tbl_SaaS_Audit[[#This Row],[Monthly_Revenue]]*12,TRUE,0)</f>
        <v>0</v>
      </c>
    </row>
    <row r="503" spans="1:16">
      <c r="A503" s="1">
        <v>502</v>
      </c>
      <c r="B503" s="1" t="s">
        <v>307</v>
      </c>
      <c r="C503" s="1" t="s">
        <v>14</v>
      </c>
      <c r="D503" s="2">
        <v>45512</v>
      </c>
      <c r="E503" s="1" t="s">
        <v>39</v>
      </c>
      <c r="F503" s="4">
        <v>6129.95</v>
      </c>
      <c r="G503" s="1" t="s">
        <v>36</v>
      </c>
      <c r="H503" s="2">
        <v>46237</v>
      </c>
      <c r="I503" s="1">
        <v>9</v>
      </c>
      <c r="J503" s="1" t="s">
        <v>47</v>
      </c>
      <c r="K503" s="1" t="str">
        <f>_xlfn.TEXTBEFORE(tbl_SaaS_Audit[[#This Row],[region]],"-")</f>
        <v>NA</v>
      </c>
      <c r="L503" s="8" t="str">
        <f>_xlfn.TEXTAFTER(tbl_SaaS_Audit[[#This Row],[region]],"-")</f>
        <v>WEST</v>
      </c>
      <c r="M503" s="8">
        <f t="shared" si="7"/>
        <v>25</v>
      </c>
      <c r="N503" s="4">
        <f>tbl_SaaS_Audit[[#This Row],[Tenure_Months]]*tbl_SaaS_Audit[[#This Row],[Monthly_Revenue]]</f>
        <v>153248.75</v>
      </c>
      <c r="O503" s="3" t="str" cm="1">
        <f t="array" ref="O50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3" s="4" cm="1">
        <f t="array" ref="P503">_xlfn.IFS(tbl_SaaS_Audit[[#This Row],[Risk_Level]]="CRITICAL RISK",tbl_SaaS_Audit[[#This Row],[Monthly_Revenue]]*12,TRUE,0)</f>
        <v>0</v>
      </c>
    </row>
    <row r="504" spans="1:16">
      <c r="A504" s="1">
        <v>503</v>
      </c>
      <c r="B504" s="1" t="s">
        <v>52</v>
      </c>
      <c r="C504" s="1" t="s">
        <v>11</v>
      </c>
      <c r="D504" s="2">
        <v>45510</v>
      </c>
      <c r="E504" s="1" t="s">
        <v>32</v>
      </c>
      <c r="F504" s="4">
        <v>1133.5</v>
      </c>
      <c r="G504" s="1" t="s">
        <v>36</v>
      </c>
      <c r="H504" s="2">
        <v>46162</v>
      </c>
      <c r="I504" s="1">
        <v>2</v>
      </c>
      <c r="J504" s="1" t="s">
        <v>47</v>
      </c>
      <c r="K504" s="1" t="str">
        <f>_xlfn.TEXTBEFORE(tbl_SaaS_Audit[[#This Row],[region]],"-")</f>
        <v>NA</v>
      </c>
      <c r="L504" s="8" t="str">
        <f>_xlfn.TEXTAFTER(tbl_SaaS_Audit[[#This Row],[region]],"-")</f>
        <v>WEST</v>
      </c>
      <c r="M504" s="8">
        <f t="shared" si="7"/>
        <v>25</v>
      </c>
      <c r="N504" s="4">
        <f>tbl_SaaS_Audit[[#This Row],[Tenure_Months]]*tbl_SaaS_Audit[[#This Row],[Monthly_Revenue]]</f>
        <v>28337.5</v>
      </c>
      <c r="O504" s="3" t="str" cm="1">
        <f t="array" ref="O50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04" s="4" cm="1">
        <f t="array" ref="P504">_xlfn.IFS(tbl_SaaS_Audit[[#This Row],[Risk_Level]]="CRITICAL RISK",tbl_SaaS_Audit[[#This Row],[Monthly_Revenue]]*12,TRUE,0)</f>
        <v>0</v>
      </c>
    </row>
    <row r="505" spans="1:16">
      <c r="A505" s="1">
        <v>504</v>
      </c>
      <c r="B505" s="1" t="s">
        <v>201</v>
      </c>
      <c r="C505" s="1" t="s">
        <v>13</v>
      </c>
      <c r="D505" s="2">
        <v>45413</v>
      </c>
      <c r="E505" s="1" t="s">
        <v>39</v>
      </c>
      <c r="F505" s="4">
        <v>7941.58</v>
      </c>
      <c r="G505" s="1" t="s">
        <v>36</v>
      </c>
      <c r="H505" s="2">
        <v>46120</v>
      </c>
      <c r="I505" s="1">
        <v>6</v>
      </c>
      <c r="J505" s="1" t="s">
        <v>47</v>
      </c>
      <c r="K505" s="1" t="str">
        <f>_xlfn.TEXTBEFORE(tbl_SaaS_Audit[[#This Row],[region]],"-")</f>
        <v>NA</v>
      </c>
      <c r="L505" s="8" t="str">
        <f>_xlfn.TEXTAFTER(tbl_SaaS_Audit[[#This Row],[region]],"-")</f>
        <v>WEST</v>
      </c>
      <c r="M505" s="8">
        <f t="shared" si="7"/>
        <v>28</v>
      </c>
      <c r="N505" s="4">
        <f>tbl_SaaS_Audit[[#This Row],[Tenure_Months]]*tbl_SaaS_Audit[[#This Row],[Monthly_Revenue]]</f>
        <v>222364.24</v>
      </c>
      <c r="O505" s="3" t="str" cm="1">
        <f t="array" ref="O50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5" s="4" cm="1">
        <f t="array" ref="P505">_xlfn.IFS(tbl_SaaS_Audit[[#This Row],[Risk_Level]]="CRITICAL RISK",tbl_SaaS_Audit[[#This Row],[Monthly_Revenue]]*12,TRUE,0)</f>
        <v>0</v>
      </c>
    </row>
    <row r="506" spans="1:16">
      <c r="A506" s="1">
        <v>505</v>
      </c>
      <c r="B506" s="1" t="s">
        <v>78</v>
      </c>
      <c r="C506" s="1" t="s">
        <v>14</v>
      </c>
      <c r="D506" s="2">
        <v>45711</v>
      </c>
      <c r="E506" s="1" t="s">
        <v>39</v>
      </c>
      <c r="F506" s="4">
        <v>7605.08</v>
      </c>
      <c r="G506" s="1" t="s">
        <v>42</v>
      </c>
      <c r="H506" s="2">
        <v>45937</v>
      </c>
      <c r="I506" s="1">
        <v>18</v>
      </c>
      <c r="J506" s="1" t="s">
        <v>34</v>
      </c>
      <c r="K506" s="1" t="str">
        <f>_xlfn.TEXTBEFORE(tbl_SaaS_Audit[[#This Row],[region]],"-")</f>
        <v>APAC</v>
      </c>
      <c r="L506" s="8" t="str">
        <f>_xlfn.TEXTAFTER(tbl_SaaS_Audit[[#This Row],[region]],"-")</f>
        <v>SGP</v>
      </c>
      <c r="M506" s="8">
        <f t="shared" si="7"/>
        <v>19</v>
      </c>
      <c r="N506" s="4">
        <f>tbl_SaaS_Audit[[#This Row],[Tenure_Months]]*tbl_SaaS_Audit[[#This Row],[Monthly_Revenue]]</f>
        <v>144496.51999999999</v>
      </c>
      <c r="O506" s="3" t="str" cm="1">
        <f t="array" ref="O50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06" s="4" cm="1">
        <f t="array" ref="P506">_xlfn.IFS(tbl_SaaS_Audit[[#This Row],[Risk_Level]]="CRITICAL RISK",tbl_SaaS_Audit[[#This Row],[Monthly_Revenue]]*12,TRUE,0)</f>
        <v>91260.959999999992</v>
      </c>
    </row>
    <row r="507" spans="1:16">
      <c r="A507" s="1">
        <v>506</v>
      </c>
      <c r="B507" s="1" t="s">
        <v>316</v>
      </c>
      <c r="C507" s="1" t="s">
        <v>12</v>
      </c>
      <c r="D507" s="2">
        <v>45674</v>
      </c>
      <c r="E507" s="1" t="s">
        <v>39</v>
      </c>
      <c r="F507" s="4">
        <v>9358.9699999999993</v>
      </c>
      <c r="G507" s="1" t="s">
        <v>33</v>
      </c>
      <c r="H507" s="2">
        <v>46039</v>
      </c>
      <c r="I507" s="1">
        <v>3</v>
      </c>
      <c r="J507" s="1" t="s">
        <v>34</v>
      </c>
      <c r="K507" s="1" t="str">
        <f>_xlfn.TEXTBEFORE(tbl_SaaS_Audit[[#This Row],[region]],"-")</f>
        <v>APAC</v>
      </c>
      <c r="L507" s="8" t="str">
        <f>_xlfn.TEXTAFTER(tbl_SaaS_Audit[[#This Row],[region]],"-")</f>
        <v>SGP</v>
      </c>
      <c r="M507" s="8">
        <f t="shared" si="7"/>
        <v>12</v>
      </c>
      <c r="N507" s="4">
        <f>tbl_SaaS_Audit[[#This Row],[Tenure_Months]]*tbl_SaaS_Audit[[#This Row],[Monthly_Revenue]]</f>
        <v>112307.63999999998</v>
      </c>
      <c r="O507" s="3" t="str" cm="1">
        <f t="array" ref="O50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07" s="4" cm="1">
        <f t="array" ref="P507">_xlfn.IFS(tbl_SaaS_Audit[[#This Row],[Risk_Level]]="CRITICAL RISK",tbl_SaaS_Audit[[#This Row],[Monthly_Revenue]]*12,TRUE,0)</f>
        <v>0</v>
      </c>
    </row>
    <row r="508" spans="1:16">
      <c r="A508" s="1">
        <v>507</v>
      </c>
      <c r="B508" s="1" t="s">
        <v>58</v>
      </c>
      <c r="C508" s="1" t="s">
        <v>11</v>
      </c>
      <c r="D508" s="2">
        <v>45553</v>
      </c>
      <c r="E508" s="1" t="s">
        <v>41</v>
      </c>
      <c r="F508" s="4">
        <v>4707.91</v>
      </c>
      <c r="G508" s="1" t="s">
        <v>49</v>
      </c>
      <c r="H508" s="2">
        <v>45908</v>
      </c>
      <c r="I508" s="1">
        <v>3</v>
      </c>
      <c r="J508" s="1" t="s">
        <v>51</v>
      </c>
      <c r="K508" s="1" t="str">
        <f>_xlfn.TEXTBEFORE(tbl_SaaS_Audit[[#This Row],[region]],"-")</f>
        <v>NA</v>
      </c>
      <c r="L508" s="8" t="str">
        <f>_xlfn.TEXTAFTER(tbl_SaaS_Audit[[#This Row],[region]],"-")</f>
        <v>EAST</v>
      </c>
      <c r="M508" s="8">
        <f t="shared" si="7"/>
        <v>24</v>
      </c>
      <c r="N508" s="4">
        <f>tbl_SaaS_Audit[[#This Row],[Tenure_Months]]*tbl_SaaS_Audit[[#This Row],[Monthly_Revenue]]</f>
        <v>112989.84</v>
      </c>
      <c r="O508" s="3" t="str" cm="1">
        <f t="array" ref="O50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8" s="4" cm="1">
        <f t="array" ref="P508">_xlfn.IFS(tbl_SaaS_Audit[[#This Row],[Risk_Level]]="CRITICAL RISK",tbl_SaaS_Audit[[#This Row],[Monthly_Revenue]]*12,TRUE,0)</f>
        <v>0</v>
      </c>
    </row>
    <row r="509" spans="1:16">
      <c r="A509" s="1">
        <v>508</v>
      </c>
      <c r="B509" s="1" t="s">
        <v>317</v>
      </c>
      <c r="C509" s="1" t="s">
        <v>12</v>
      </c>
      <c r="D509" s="2">
        <v>45641</v>
      </c>
      <c r="E509" s="1" t="s">
        <v>41</v>
      </c>
      <c r="F509" s="4">
        <v>1583.82</v>
      </c>
      <c r="G509" s="1" t="s">
        <v>49</v>
      </c>
      <c r="H509" s="2">
        <v>46242</v>
      </c>
      <c r="I509" s="1">
        <v>13</v>
      </c>
      <c r="J509" s="1" t="s">
        <v>34</v>
      </c>
      <c r="K509" s="1" t="str">
        <f>_xlfn.TEXTBEFORE(tbl_SaaS_Audit[[#This Row],[region]],"-")</f>
        <v>APAC</v>
      </c>
      <c r="L509" s="8" t="str">
        <f>_xlfn.TEXTAFTER(tbl_SaaS_Audit[[#This Row],[region]],"-")</f>
        <v>SGP</v>
      </c>
      <c r="M509" s="8">
        <f t="shared" si="7"/>
        <v>21</v>
      </c>
      <c r="N509" s="4">
        <f>tbl_SaaS_Audit[[#This Row],[Tenure_Months]]*tbl_SaaS_Audit[[#This Row],[Monthly_Revenue]]</f>
        <v>33260.22</v>
      </c>
      <c r="O509" s="3" t="str" cm="1">
        <f t="array" ref="O50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09" s="4" cm="1">
        <f t="array" ref="P509">_xlfn.IFS(tbl_SaaS_Audit[[#This Row],[Risk_Level]]="CRITICAL RISK",tbl_SaaS_Audit[[#This Row],[Monthly_Revenue]]*12,TRUE,0)</f>
        <v>0</v>
      </c>
    </row>
    <row r="510" spans="1:16">
      <c r="A510" s="1">
        <v>509</v>
      </c>
      <c r="B510" s="1" t="s">
        <v>218</v>
      </c>
      <c r="C510" s="1" t="s">
        <v>15</v>
      </c>
      <c r="D510" s="2">
        <v>45533</v>
      </c>
      <c r="E510" s="1" t="s">
        <v>39</v>
      </c>
      <c r="F510" s="4">
        <v>4766.78</v>
      </c>
      <c r="G510" s="1" t="s">
        <v>36</v>
      </c>
      <c r="H510" s="2">
        <v>45954</v>
      </c>
      <c r="I510" s="1">
        <v>3</v>
      </c>
      <c r="J510" s="1" t="s">
        <v>37</v>
      </c>
      <c r="K510" s="1" t="str">
        <f>_xlfn.TEXTBEFORE(tbl_SaaS_Audit[[#This Row],[region]],"-")</f>
        <v>MEA</v>
      </c>
      <c r="L510" s="8" t="str">
        <f>_xlfn.TEXTAFTER(tbl_SaaS_Audit[[#This Row],[region]],"-")</f>
        <v>EGY</v>
      </c>
      <c r="M510" s="8">
        <f t="shared" si="7"/>
        <v>25</v>
      </c>
      <c r="N510" s="4">
        <f>tbl_SaaS_Audit[[#This Row],[Tenure_Months]]*tbl_SaaS_Audit[[#This Row],[Monthly_Revenue]]</f>
        <v>119169.5</v>
      </c>
      <c r="O510" s="3" t="str" cm="1">
        <f t="array" ref="O51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10" s="4" cm="1">
        <f t="array" ref="P510">_xlfn.IFS(tbl_SaaS_Audit[[#This Row],[Risk_Level]]="CRITICAL RISK",tbl_SaaS_Audit[[#This Row],[Monthly_Revenue]]*12,TRUE,0)</f>
        <v>0</v>
      </c>
    </row>
    <row r="511" spans="1:16">
      <c r="A511" s="1">
        <v>510</v>
      </c>
      <c r="B511" s="1" t="s">
        <v>318</v>
      </c>
      <c r="C511" s="1" t="s">
        <v>12</v>
      </c>
      <c r="D511" s="2">
        <v>45800</v>
      </c>
      <c r="E511" s="1" t="s">
        <v>39</v>
      </c>
      <c r="F511" s="4">
        <v>3918.96</v>
      </c>
      <c r="G511" s="1" t="s">
        <v>42</v>
      </c>
      <c r="H511" s="2">
        <v>46238</v>
      </c>
      <c r="I511" s="1">
        <v>8</v>
      </c>
      <c r="J511" s="1" t="s">
        <v>34</v>
      </c>
      <c r="K511" s="1" t="str">
        <f>_xlfn.TEXTBEFORE(tbl_SaaS_Audit[[#This Row],[region]],"-")</f>
        <v>APAC</v>
      </c>
      <c r="L511" s="8" t="str">
        <f>_xlfn.TEXTAFTER(tbl_SaaS_Audit[[#This Row],[region]],"-")</f>
        <v>SGP</v>
      </c>
      <c r="M511" s="8">
        <f t="shared" si="7"/>
        <v>16</v>
      </c>
      <c r="N511" s="4">
        <f>tbl_SaaS_Audit[[#This Row],[Tenure_Months]]*tbl_SaaS_Audit[[#This Row],[Monthly_Revenue]]</f>
        <v>62703.360000000001</v>
      </c>
      <c r="O511" s="3" t="str" cm="1">
        <f t="array" ref="O51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11" s="4" cm="1">
        <f t="array" ref="P511">_xlfn.IFS(tbl_SaaS_Audit[[#This Row],[Risk_Level]]="CRITICAL RISK",tbl_SaaS_Audit[[#This Row],[Monthly_Revenue]]*12,TRUE,0)</f>
        <v>0</v>
      </c>
    </row>
    <row r="512" spans="1:16">
      <c r="A512" s="1">
        <v>511</v>
      </c>
      <c r="B512" s="1" t="s">
        <v>319</v>
      </c>
      <c r="C512" s="1" t="s">
        <v>12</v>
      </c>
      <c r="D512" s="2">
        <v>45397</v>
      </c>
      <c r="E512" s="1" t="s">
        <v>32</v>
      </c>
      <c r="F512" s="4">
        <v>7429.84</v>
      </c>
      <c r="G512" s="1" t="s">
        <v>33</v>
      </c>
      <c r="H512" s="2">
        <v>45855</v>
      </c>
      <c r="I512" s="1">
        <v>11</v>
      </c>
      <c r="J512" s="1" t="s">
        <v>34</v>
      </c>
      <c r="K512" s="1" t="str">
        <f>_xlfn.TEXTBEFORE(tbl_SaaS_Audit[[#This Row],[region]],"-")</f>
        <v>APAC</v>
      </c>
      <c r="L512" s="8" t="str">
        <f>_xlfn.TEXTAFTER(tbl_SaaS_Audit[[#This Row],[region]],"-")</f>
        <v>SGP</v>
      </c>
      <c r="M512" s="8">
        <f t="shared" si="7"/>
        <v>15</v>
      </c>
      <c r="N512" s="4">
        <f>tbl_SaaS_Audit[[#This Row],[Tenure_Months]]*tbl_SaaS_Audit[[#This Row],[Monthly_Revenue]]</f>
        <v>111447.6</v>
      </c>
      <c r="O512" s="3" t="str" cm="1">
        <f t="array" ref="O51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12" s="4" cm="1">
        <f t="array" ref="P512">_xlfn.IFS(tbl_SaaS_Audit[[#This Row],[Risk_Level]]="CRITICAL RISK",tbl_SaaS_Audit[[#This Row],[Monthly_Revenue]]*12,TRUE,0)</f>
        <v>0</v>
      </c>
    </row>
    <row r="513" spans="1:16">
      <c r="A513" s="1">
        <v>512</v>
      </c>
      <c r="B513" s="1" t="s">
        <v>108</v>
      </c>
      <c r="C513" s="1" t="s">
        <v>12</v>
      </c>
      <c r="D513" s="2">
        <v>45638</v>
      </c>
      <c r="E513" s="1" t="s">
        <v>39</v>
      </c>
      <c r="F513" s="4">
        <v>10413.27</v>
      </c>
      <c r="G513" s="1" t="s">
        <v>42</v>
      </c>
      <c r="H513" s="2">
        <v>46067</v>
      </c>
      <c r="I513" s="1">
        <v>12</v>
      </c>
      <c r="J513" s="1" t="s">
        <v>34</v>
      </c>
      <c r="K513" s="1" t="str">
        <f>_xlfn.TEXTBEFORE(tbl_SaaS_Audit[[#This Row],[region]],"-")</f>
        <v>APAC</v>
      </c>
      <c r="L513" s="8" t="str">
        <f>_xlfn.TEXTAFTER(tbl_SaaS_Audit[[#This Row],[region]],"-")</f>
        <v>SGP</v>
      </c>
      <c r="M513" s="8">
        <f t="shared" si="7"/>
        <v>21</v>
      </c>
      <c r="N513" s="4">
        <f>tbl_SaaS_Audit[[#This Row],[Tenure_Months]]*tbl_SaaS_Audit[[#This Row],[Monthly_Revenue]]</f>
        <v>218678.67</v>
      </c>
      <c r="O513" s="3" t="str" cm="1">
        <f t="array" ref="O51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13" s="4" cm="1">
        <f t="array" ref="P513">_xlfn.IFS(tbl_SaaS_Audit[[#This Row],[Risk_Level]]="CRITICAL RISK",tbl_SaaS_Audit[[#This Row],[Monthly_Revenue]]*12,TRUE,0)</f>
        <v>124959.24</v>
      </c>
    </row>
    <row r="514" spans="1:16">
      <c r="A514" s="1">
        <v>513</v>
      </c>
      <c r="B514" s="1" t="s">
        <v>62</v>
      </c>
      <c r="C514" s="1" t="s">
        <v>12</v>
      </c>
      <c r="D514" s="2">
        <v>45304</v>
      </c>
      <c r="E514" s="1" t="s">
        <v>32</v>
      </c>
      <c r="F514" s="4">
        <v>10071.51</v>
      </c>
      <c r="G514" s="1" t="s">
        <v>36</v>
      </c>
      <c r="H514" s="2">
        <v>46007</v>
      </c>
      <c r="I514" s="1">
        <v>12</v>
      </c>
      <c r="J514" s="1" t="s">
        <v>37</v>
      </c>
      <c r="K514" s="1" t="str">
        <f>_xlfn.TEXTBEFORE(tbl_SaaS_Audit[[#This Row],[region]],"-")</f>
        <v>MEA</v>
      </c>
      <c r="L514" s="8" t="str">
        <f>_xlfn.TEXTAFTER(tbl_SaaS_Audit[[#This Row],[region]],"-")</f>
        <v>EGY</v>
      </c>
      <c r="M514" s="8">
        <f t="shared" ref="M514:M577" si="8">MAX(0, IF(AND(G514="Churned", ISNUMBER(H514)), (YEAR(H514)-YEAR(D514))*12 + (MONTH(H514)-MONTH(D514)), (YEAR(DATE(2026,9,1))-YEAR(D514))*12 + (MONTH(DATE(2026,9,1))-MONTH(D514))))</f>
        <v>32</v>
      </c>
      <c r="N514" s="4">
        <f>tbl_SaaS_Audit[[#This Row],[Tenure_Months]]*tbl_SaaS_Audit[[#This Row],[Monthly_Revenue]]</f>
        <v>322288.32</v>
      </c>
      <c r="O514" s="3" t="str" cm="1">
        <f t="array" ref="O51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14" s="4" cm="1">
        <f t="array" ref="P514">_xlfn.IFS(tbl_SaaS_Audit[[#This Row],[Risk_Level]]="CRITICAL RISK",tbl_SaaS_Audit[[#This Row],[Monthly_Revenue]]*12,TRUE,0)</f>
        <v>0</v>
      </c>
    </row>
    <row r="515" spans="1:16">
      <c r="A515" s="1">
        <v>514</v>
      </c>
      <c r="B515" s="1" t="s">
        <v>315</v>
      </c>
      <c r="C515" s="1" t="s">
        <v>14</v>
      </c>
      <c r="D515" s="2">
        <v>45829</v>
      </c>
      <c r="E515" s="1" t="s">
        <v>32</v>
      </c>
      <c r="F515" s="4">
        <v>5257.59</v>
      </c>
      <c r="G515" s="1" t="s">
        <v>49</v>
      </c>
      <c r="H515" s="2">
        <v>45872</v>
      </c>
      <c r="I515" s="1">
        <v>6</v>
      </c>
      <c r="J515" s="1" t="s">
        <v>47</v>
      </c>
      <c r="K515" s="1" t="str">
        <f>_xlfn.TEXTBEFORE(tbl_SaaS_Audit[[#This Row],[region]],"-")</f>
        <v>NA</v>
      </c>
      <c r="L515" s="8" t="str">
        <f>_xlfn.TEXTAFTER(tbl_SaaS_Audit[[#This Row],[region]],"-")</f>
        <v>WEST</v>
      </c>
      <c r="M515" s="8">
        <f t="shared" si="8"/>
        <v>15</v>
      </c>
      <c r="N515" s="4">
        <f>tbl_SaaS_Audit[[#This Row],[Tenure_Months]]*tbl_SaaS_Audit[[#This Row],[Monthly_Revenue]]</f>
        <v>78863.850000000006</v>
      </c>
      <c r="O515" s="3" t="str" cm="1">
        <f t="array" ref="O51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15" s="4" cm="1">
        <f t="array" ref="P515">_xlfn.IFS(tbl_SaaS_Audit[[#This Row],[Risk_Level]]="CRITICAL RISK",tbl_SaaS_Audit[[#This Row],[Monthly_Revenue]]*12,TRUE,0)</f>
        <v>0</v>
      </c>
    </row>
    <row r="516" spans="1:16">
      <c r="A516" s="1">
        <v>515</v>
      </c>
      <c r="B516" s="1" t="s">
        <v>292</v>
      </c>
      <c r="C516" s="1" t="s">
        <v>13</v>
      </c>
      <c r="D516" s="2">
        <v>45326</v>
      </c>
      <c r="E516" s="1" t="s">
        <v>32</v>
      </c>
      <c r="F516" s="4">
        <v>8658.85</v>
      </c>
      <c r="G516" s="1" t="s">
        <v>42</v>
      </c>
      <c r="H516" s="2">
        <v>45942</v>
      </c>
      <c r="I516" s="1">
        <v>8</v>
      </c>
      <c r="J516" s="1" t="s">
        <v>34</v>
      </c>
      <c r="K516" s="1" t="str">
        <f>_xlfn.TEXTBEFORE(tbl_SaaS_Audit[[#This Row],[region]],"-")</f>
        <v>APAC</v>
      </c>
      <c r="L516" s="8" t="str">
        <f>_xlfn.TEXTAFTER(tbl_SaaS_Audit[[#This Row],[region]],"-")</f>
        <v>SGP</v>
      </c>
      <c r="M516" s="8">
        <f t="shared" si="8"/>
        <v>31</v>
      </c>
      <c r="N516" s="4">
        <f>tbl_SaaS_Audit[[#This Row],[Tenure_Months]]*tbl_SaaS_Audit[[#This Row],[Monthly_Revenue]]</f>
        <v>268424.35000000003</v>
      </c>
      <c r="O516" s="3" t="str" cm="1">
        <f t="array" ref="O51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16" s="4" cm="1">
        <f t="array" ref="P516">_xlfn.IFS(tbl_SaaS_Audit[[#This Row],[Risk_Level]]="CRITICAL RISK",tbl_SaaS_Audit[[#This Row],[Monthly_Revenue]]*12,TRUE,0)</f>
        <v>0</v>
      </c>
    </row>
    <row r="517" spans="1:16">
      <c r="A517" s="1">
        <v>516</v>
      </c>
      <c r="B517" s="1" t="s">
        <v>86</v>
      </c>
      <c r="C517" s="1" t="s">
        <v>15</v>
      </c>
      <c r="D517" s="2">
        <v>45782</v>
      </c>
      <c r="E517" s="1" t="s">
        <v>32</v>
      </c>
      <c r="F517" s="4">
        <v>11744.14</v>
      </c>
      <c r="G517" s="1" t="s">
        <v>49</v>
      </c>
      <c r="H517" s="2">
        <v>46189</v>
      </c>
      <c r="I517" s="1">
        <v>16</v>
      </c>
      <c r="J517" s="1" t="s">
        <v>37</v>
      </c>
      <c r="K517" s="1" t="str">
        <f>_xlfn.TEXTBEFORE(tbl_SaaS_Audit[[#This Row],[region]],"-")</f>
        <v>MEA</v>
      </c>
      <c r="L517" s="8" t="str">
        <f>_xlfn.TEXTAFTER(tbl_SaaS_Audit[[#This Row],[region]],"-")</f>
        <v>EGY</v>
      </c>
      <c r="M517" s="8">
        <f t="shared" si="8"/>
        <v>16</v>
      </c>
      <c r="N517" s="4">
        <f>tbl_SaaS_Audit[[#This Row],[Tenure_Months]]*tbl_SaaS_Audit[[#This Row],[Monthly_Revenue]]</f>
        <v>187906.24</v>
      </c>
      <c r="O517" s="3" t="str" cm="1">
        <f t="array" ref="O51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17" s="4" cm="1">
        <f t="array" ref="P517">_xlfn.IFS(tbl_SaaS_Audit[[#This Row],[Risk_Level]]="CRITICAL RISK",tbl_SaaS_Audit[[#This Row],[Monthly_Revenue]]*12,TRUE,0)</f>
        <v>0</v>
      </c>
    </row>
    <row r="518" spans="1:16">
      <c r="A518" s="1">
        <v>517</v>
      </c>
      <c r="B518" s="1" t="s">
        <v>151</v>
      </c>
      <c r="C518" s="1" t="s">
        <v>14</v>
      </c>
      <c r="D518" s="2">
        <v>45738</v>
      </c>
      <c r="E518" s="1" t="s">
        <v>41</v>
      </c>
      <c r="F518" s="4">
        <v>1720.52</v>
      </c>
      <c r="G518" s="1" t="s">
        <v>33</v>
      </c>
      <c r="H518" s="2">
        <v>46141</v>
      </c>
      <c r="I518" s="1">
        <v>14</v>
      </c>
      <c r="J518" s="1" t="s">
        <v>34</v>
      </c>
      <c r="K518" s="1" t="str">
        <f>_xlfn.TEXTBEFORE(tbl_SaaS_Audit[[#This Row],[region]],"-")</f>
        <v>APAC</v>
      </c>
      <c r="L518" s="8" t="str">
        <f>_xlfn.TEXTAFTER(tbl_SaaS_Audit[[#This Row],[region]],"-")</f>
        <v>SGP</v>
      </c>
      <c r="M518" s="8">
        <f t="shared" si="8"/>
        <v>13</v>
      </c>
      <c r="N518" s="4">
        <f>tbl_SaaS_Audit[[#This Row],[Tenure_Months]]*tbl_SaaS_Audit[[#This Row],[Monthly_Revenue]]</f>
        <v>22366.76</v>
      </c>
      <c r="O518" s="3" t="str" cm="1">
        <f t="array" ref="O51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18" s="4" cm="1">
        <f t="array" ref="P518">_xlfn.IFS(tbl_SaaS_Audit[[#This Row],[Risk_Level]]="CRITICAL RISK",tbl_SaaS_Audit[[#This Row],[Monthly_Revenue]]*12,TRUE,0)</f>
        <v>0</v>
      </c>
    </row>
    <row r="519" spans="1:16">
      <c r="A519" s="1">
        <v>518</v>
      </c>
      <c r="B519" s="1" t="s">
        <v>320</v>
      </c>
      <c r="C519" s="1" t="s">
        <v>13</v>
      </c>
      <c r="D519" s="2">
        <v>45530</v>
      </c>
      <c r="E519" s="1" t="s">
        <v>41</v>
      </c>
      <c r="F519" s="4">
        <v>8532.76</v>
      </c>
      <c r="G519" s="1" t="s">
        <v>36</v>
      </c>
      <c r="H519" s="2">
        <v>45896</v>
      </c>
      <c r="I519" s="1">
        <v>3</v>
      </c>
      <c r="J519" s="1" t="s">
        <v>37</v>
      </c>
      <c r="K519" s="1" t="str">
        <f>_xlfn.TEXTBEFORE(tbl_SaaS_Audit[[#This Row],[region]],"-")</f>
        <v>MEA</v>
      </c>
      <c r="L519" s="8" t="str">
        <f>_xlfn.TEXTAFTER(tbl_SaaS_Audit[[#This Row],[region]],"-")</f>
        <v>EGY</v>
      </c>
      <c r="M519" s="8">
        <f t="shared" si="8"/>
        <v>25</v>
      </c>
      <c r="N519" s="4">
        <f>tbl_SaaS_Audit[[#This Row],[Tenure_Months]]*tbl_SaaS_Audit[[#This Row],[Monthly_Revenue]]</f>
        <v>213319</v>
      </c>
      <c r="O519" s="3" t="str" cm="1">
        <f t="array" ref="O51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19" s="4" cm="1">
        <f t="array" ref="P519">_xlfn.IFS(tbl_SaaS_Audit[[#This Row],[Risk_Level]]="CRITICAL RISK",tbl_SaaS_Audit[[#This Row],[Monthly_Revenue]]*12,TRUE,0)</f>
        <v>0</v>
      </c>
    </row>
    <row r="520" spans="1:16">
      <c r="A520" s="1">
        <v>519</v>
      </c>
      <c r="B520" s="1" t="s">
        <v>189</v>
      </c>
      <c r="C520" s="1" t="s">
        <v>15</v>
      </c>
      <c r="D520" s="2">
        <v>45813</v>
      </c>
      <c r="E520" s="1" t="s">
        <v>32</v>
      </c>
      <c r="F520" s="4">
        <v>8618.7900000000009</v>
      </c>
      <c r="G520" s="1" t="s">
        <v>49</v>
      </c>
      <c r="H520" s="2">
        <v>46166</v>
      </c>
      <c r="I520" s="1">
        <v>3</v>
      </c>
      <c r="J520" s="1" t="s">
        <v>45</v>
      </c>
      <c r="K520" s="1" t="str">
        <f>_xlfn.TEXTBEFORE(tbl_SaaS_Audit[[#This Row],[region]],"-")</f>
        <v>EU</v>
      </c>
      <c r="L520" s="8" t="str">
        <f>_xlfn.TEXTAFTER(tbl_SaaS_Audit[[#This Row],[region]],"-")</f>
        <v>CENTRAL</v>
      </c>
      <c r="M520" s="8">
        <f t="shared" si="8"/>
        <v>15</v>
      </c>
      <c r="N520" s="4">
        <f>tbl_SaaS_Audit[[#This Row],[Tenure_Months]]*tbl_SaaS_Audit[[#This Row],[Monthly_Revenue]]</f>
        <v>129281.85</v>
      </c>
      <c r="O520" s="3" t="str" cm="1">
        <f t="array" ref="O52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20" s="4" cm="1">
        <f t="array" ref="P520">_xlfn.IFS(tbl_SaaS_Audit[[#This Row],[Risk_Level]]="CRITICAL RISK",tbl_SaaS_Audit[[#This Row],[Monthly_Revenue]]*12,TRUE,0)</f>
        <v>0</v>
      </c>
    </row>
    <row r="521" spans="1:16">
      <c r="A521" s="1">
        <v>520</v>
      </c>
      <c r="B521" s="1" t="s">
        <v>268</v>
      </c>
      <c r="C521" s="1" t="s">
        <v>13</v>
      </c>
      <c r="D521" s="2">
        <v>45486</v>
      </c>
      <c r="E521" s="1" t="s">
        <v>39</v>
      </c>
      <c r="F521" s="4">
        <v>3196.65</v>
      </c>
      <c r="G521" s="1" t="s">
        <v>33</v>
      </c>
      <c r="H521" s="2">
        <v>46011</v>
      </c>
      <c r="I521" s="1">
        <v>0</v>
      </c>
      <c r="J521" s="1" t="s">
        <v>34</v>
      </c>
      <c r="K521" s="1" t="str">
        <f>_xlfn.TEXTBEFORE(tbl_SaaS_Audit[[#This Row],[region]],"-")</f>
        <v>APAC</v>
      </c>
      <c r="L521" s="8" t="str">
        <f>_xlfn.TEXTAFTER(tbl_SaaS_Audit[[#This Row],[region]],"-")</f>
        <v>SGP</v>
      </c>
      <c r="M521" s="8">
        <f t="shared" si="8"/>
        <v>17</v>
      </c>
      <c r="N521" s="4">
        <f>tbl_SaaS_Audit[[#This Row],[Tenure_Months]]*tbl_SaaS_Audit[[#This Row],[Monthly_Revenue]]</f>
        <v>54343.05</v>
      </c>
      <c r="O521" s="3" t="str" cm="1">
        <f t="array" ref="O52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21" s="4" cm="1">
        <f t="array" ref="P521">_xlfn.IFS(tbl_SaaS_Audit[[#This Row],[Risk_Level]]="CRITICAL RISK",tbl_SaaS_Audit[[#This Row],[Monthly_Revenue]]*12,TRUE,0)</f>
        <v>0</v>
      </c>
    </row>
    <row r="522" spans="1:16">
      <c r="A522" s="1">
        <v>521</v>
      </c>
      <c r="B522" s="1" t="s">
        <v>289</v>
      </c>
      <c r="C522" s="1" t="s">
        <v>15</v>
      </c>
      <c r="D522" s="2">
        <v>45329</v>
      </c>
      <c r="E522" s="1" t="s">
        <v>39</v>
      </c>
      <c r="F522" s="4">
        <v>1222.1300000000001</v>
      </c>
      <c r="G522" s="1" t="s">
        <v>49</v>
      </c>
      <c r="H522" s="2">
        <v>46113</v>
      </c>
      <c r="I522" s="1">
        <v>10</v>
      </c>
      <c r="J522" s="1" t="s">
        <v>34</v>
      </c>
      <c r="K522" s="1" t="str">
        <f>_xlfn.TEXTBEFORE(tbl_SaaS_Audit[[#This Row],[region]],"-")</f>
        <v>APAC</v>
      </c>
      <c r="L522" s="8" t="str">
        <f>_xlfn.TEXTAFTER(tbl_SaaS_Audit[[#This Row],[region]],"-")</f>
        <v>SGP</v>
      </c>
      <c r="M522" s="8">
        <f t="shared" si="8"/>
        <v>31</v>
      </c>
      <c r="N522" s="4">
        <f>tbl_SaaS_Audit[[#This Row],[Tenure_Months]]*tbl_SaaS_Audit[[#This Row],[Monthly_Revenue]]</f>
        <v>37886.030000000006</v>
      </c>
      <c r="O522" s="3" t="str" cm="1">
        <f t="array" ref="O52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22" s="4" cm="1">
        <f t="array" ref="P522">_xlfn.IFS(tbl_SaaS_Audit[[#This Row],[Risk_Level]]="CRITICAL RISK",tbl_SaaS_Audit[[#This Row],[Monthly_Revenue]]*12,TRUE,0)</f>
        <v>0</v>
      </c>
    </row>
    <row r="523" spans="1:16">
      <c r="A523" s="1">
        <v>522</v>
      </c>
      <c r="B523" s="1" t="s">
        <v>71</v>
      </c>
      <c r="C523" s="1" t="s">
        <v>12</v>
      </c>
      <c r="D523" s="2">
        <v>45591</v>
      </c>
      <c r="E523" s="1" t="s">
        <v>39</v>
      </c>
      <c r="F523" s="4">
        <v>6834.37</v>
      </c>
      <c r="G523" s="1" t="s">
        <v>49</v>
      </c>
      <c r="H523" s="2">
        <v>46155</v>
      </c>
      <c r="I523" s="1">
        <v>18</v>
      </c>
      <c r="J523" s="1" t="s">
        <v>37</v>
      </c>
      <c r="K523" s="1" t="str">
        <f>_xlfn.TEXTBEFORE(tbl_SaaS_Audit[[#This Row],[region]],"-")</f>
        <v>MEA</v>
      </c>
      <c r="L523" s="8" t="str">
        <f>_xlfn.TEXTAFTER(tbl_SaaS_Audit[[#This Row],[region]],"-")</f>
        <v>EGY</v>
      </c>
      <c r="M523" s="8">
        <f t="shared" si="8"/>
        <v>23</v>
      </c>
      <c r="N523" s="4">
        <f>tbl_SaaS_Audit[[#This Row],[Tenure_Months]]*tbl_SaaS_Audit[[#This Row],[Monthly_Revenue]]</f>
        <v>157190.51</v>
      </c>
      <c r="O523" s="3" t="str" cm="1">
        <f t="array" ref="O52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23" s="4" cm="1">
        <f t="array" ref="P523">_xlfn.IFS(tbl_SaaS_Audit[[#This Row],[Risk_Level]]="CRITICAL RISK",tbl_SaaS_Audit[[#This Row],[Monthly_Revenue]]*12,TRUE,0)</f>
        <v>0</v>
      </c>
    </row>
    <row r="524" spans="1:16">
      <c r="A524" s="1">
        <v>523</v>
      </c>
      <c r="B524" s="1" t="s">
        <v>250</v>
      </c>
      <c r="C524" s="1" t="s">
        <v>15</v>
      </c>
      <c r="D524" s="2">
        <v>45615</v>
      </c>
      <c r="E524" s="1" t="s">
        <v>39</v>
      </c>
      <c r="F524" s="4">
        <v>11552.18</v>
      </c>
      <c r="G524" s="1" t="s">
        <v>33</v>
      </c>
      <c r="H524" s="2">
        <v>46167</v>
      </c>
      <c r="I524" s="1">
        <v>4</v>
      </c>
      <c r="J524" s="1" t="s">
        <v>37</v>
      </c>
      <c r="K524" s="1" t="str">
        <f>_xlfn.TEXTBEFORE(tbl_SaaS_Audit[[#This Row],[region]],"-")</f>
        <v>MEA</v>
      </c>
      <c r="L524" s="8" t="str">
        <f>_xlfn.TEXTAFTER(tbl_SaaS_Audit[[#This Row],[region]],"-")</f>
        <v>EGY</v>
      </c>
      <c r="M524" s="8">
        <f t="shared" si="8"/>
        <v>18</v>
      </c>
      <c r="N524" s="4">
        <f>tbl_SaaS_Audit[[#This Row],[Tenure_Months]]*tbl_SaaS_Audit[[#This Row],[Monthly_Revenue]]</f>
        <v>207939.24</v>
      </c>
      <c r="O524" s="3" t="str" cm="1">
        <f t="array" ref="O52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24" s="4" cm="1">
        <f t="array" ref="P524">_xlfn.IFS(tbl_SaaS_Audit[[#This Row],[Risk_Level]]="CRITICAL RISK",tbl_SaaS_Audit[[#This Row],[Monthly_Revenue]]*12,TRUE,0)</f>
        <v>0</v>
      </c>
    </row>
    <row r="525" spans="1:16">
      <c r="A525" s="1">
        <v>524</v>
      </c>
      <c r="B525" s="1" t="s">
        <v>227</v>
      </c>
      <c r="C525" s="1" t="s">
        <v>14</v>
      </c>
      <c r="D525" s="2">
        <v>45673</v>
      </c>
      <c r="E525" s="1" t="s">
        <v>39</v>
      </c>
      <c r="F525" s="4">
        <v>8580.1200000000008</v>
      </c>
      <c r="G525" s="1" t="s">
        <v>36</v>
      </c>
      <c r="H525" s="2">
        <v>46112</v>
      </c>
      <c r="I525" s="1">
        <v>16</v>
      </c>
      <c r="J525" s="1" t="s">
        <v>51</v>
      </c>
      <c r="K525" s="1" t="str">
        <f>_xlfn.TEXTBEFORE(tbl_SaaS_Audit[[#This Row],[region]],"-")</f>
        <v>NA</v>
      </c>
      <c r="L525" s="8" t="str">
        <f>_xlfn.TEXTAFTER(tbl_SaaS_Audit[[#This Row],[region]],"-")</f>
        <v>EAST</v>
      </c>
      <c r="M525" s="8">
        <f t="shared" si="8"/>
        <v>20</v>
      </c>
      <c r="N525" s="4">
        <f>tbl_SaaS_Audit[[#This Row],[Tenure_Months]]*tbl_SaaS_Audit[[#This Row],[Monthly_Revenue]]</f>
        <v>171602.40000000002</v>
      </c>
      <c r="O525" s="3" t="str" cm="1">
        <f t="array" ref="O52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25" s="4" cm="1">
        <f t="array" ref="P525">_xlfn.IFS(tbl_SaaS_Audit[[#This Row],[Risk_Level]]="CRITICAL RISK",tbl_SaaS_Audit[[#This Row],[Monthly_Revenue]]*12,TRUE,0)</f>
        <v>0</v>
      </c>
    </row>
    <row r="526" spans="1:16">
      <c r="A526" s="1">
        <v>525</v>
      </c>
      <c r="B526" s="1" t="s">
        <v>234</v>
      </c>
      <c r="C526" s="1" t="s">
        <v>12</v>
      </c>
      <c r="D526" s="2">
        <v>45792</v>
      </c>
      <c r="E526" s="1" t="s">
        <v>32</v>
      </c>
      <c r="F526" s="4">
        <v>9187.2800000000007</v>
      </c>
      <c r="G526" s="1" t="s">
        <v>42</v>
      </c>
      <c r="H526" s="2">
        <v>45850</v>
      </c>
      <c r="I526" s="1">
        <v>4</v>
      </c>
      <c r="J526" s="1" t="s">
        <v>51</v>
      </c>
      <c r="K526" s="1" t="str">
        <f>_xlfn.TEXTBEFORE(tbl_SaaS_Audit[[#This Row],[region]],"-")</f>
        <v>NA</v>
      </c>
      <c r="L526" s="8" t="str">
        <f>_xlfn.TEXTAFTER(tbl_SaaS_Audit[[#This Row],[region]],"-")</f>
        <v>EAST</v>
      </c>
      <c r="M526" s="8">
        <f t="shared" si="8"/>
        <v>16</v>
      </c>
      <c r="N526" s="4">
        <f>tbl_SaaS_Audit[[#This Row],[Tenure_Months]]*tbl_SaaS_Audit[[#This Row],[Monthly_Revenue]]</f>
        <v>146996.48000000001</v>
      </c>
      <c r="O526" s="3" t="str" cm="1">
        <f t="array" ref="O52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26" s="4" cm="1">
        <f t="array" ref="P526">_xlfn.IFS(tbl_SaaS_Audit[[#This Row],[Risk_Level]]="CRITICAL RISK",tbl_SaaS_Audit[[#This Row],[Monthly_Revenue]]*12,TRUE,0)</f>
        <v>0</v>
      </c>
    </row>
    <row r="527" spans="1:16">
      <c r="A527" s="1">
        <v>526</v>
      </c>
      <c r="B527" s="1" t="s">
        <v>321</v>
      </c>
      <c r="C527" s="1" t="s">
        <v>13</v>
      </c>
      <c r="D527" s="2">
        <v>45504</v>
      </c>
      <c r="E527" s="1" t="s">
        <v>32</v>
      </c>
      <c r="F527" s="4">
        <v>6568.59</v>
      </c>
      <c r="G527" s="1" t="s">
        <v>42</v>
      </c>
      <c r="H527" s="2">
        <v>46056</v>
      </c>
      <c r="I527" s="1">
        <v>11</v>
      </c>
      <c r="J527" s="1" t="s">
        <v>45</v>
      </c>
      <c r="K527" s="1" t="str">
        <f>_xlfn.TEXTBEFORE(tbl_SaaS_Audit[[#This Row],[region]],"-")</f>
        <v>EU</v>
      </c>
      <c r="L527" s="8" t="str">
        <f>_xlfn.TEXTAFTER(tbl_SaaS_Audit[[#This Row],[region]],"-")</f>
        <v>CENTRAL</v>
      </c>
      <c r="M527" s="8">
        <f t="shared" si="8"/>
        <v>26</v>
      </c>
      <c r="N527" s="4">
        <f>tbl_SaaS_Audit[[#This Row],[Tenure_Months]]*tbl_SaaS_Audit[[#This Row],[Monthly_Revenue]]</f>
        <v>170783.34</v>
      </c>
      <c r="O527" s="3" t="str" cm="1">
        <f t="array" ref="O52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27" s="4" cm="1">
        <f t="array" ref="P527">_xlfn.IFS(tbl_SaaS_Audit[[#This Row],[Risk_Level]]="CRITICAL RISK",tbl_SaaS_Audit[[#This Row],[Monthly_Revenue]]*12,TRUE,0)</f>
        <v>78823.08</v>
      </c>
    </row>
    <row r="528" spans="1:16">
      <c r="A528" s="1">
        <v>527</v>
      </c>
      <c r="B528" s="1" t="s">
        <v>242</v>
      </c>
      <c r="C528" s="1" t="s">
        <v>14</v>
      </c>
      <c r="D528" s="2">
        <v>45336</v>
      </c>
      <c r="E528" s="1" t="s">
        <v>41</v>
      </c>
      <c r="F528" s="4">
        <v>1605.9</v>
      </c>
      <c r="G528" s="1" t="s">
        <v>36</v>
      </c>
      <c r="H528" s="2">
        <v>46235</v>
      </c>
      <c r="I528" s="1">
        <v>3</v>
      </c>
      <c r="J528" s="1" t="s">
        <v>37</v>
      </c>
      <c r="K528" s="1" t="str">
        <f>_xlfn.TEXTBEFORE(tbl_SaaS_Audit[[#This Row],[region]],"-")</f>
        <v>MEA</v>
      </c>
      <c r="L528" s="8" t="str">
        <f>_xlfn.TEXTAFTER(tbl_SaaS_Audit[[#This Row],[region]],"-")</f>
        <v>EGY</v>
      </c>
      <c r="M528" s="8">
        <f t="shared" si="8"/>
        <v>31</v>
      </c>
      <c r="N528" s="4">
        <f>tbl_SaaS_Audit[[#This Row],[Tenure_Months]]*tbl_SaaS_Audit[[#This Row],[Monthly_Revenue]]</f>
        <v>49782.9</v>
      </c>
      <c r="O528" s="3" t="str" cm="1">
        <f t="array" ref="O52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28" s="4" cm="1">
        <f t="array" ref="P528">_xlfn.IFS(tbl_SaaS_Audit[[#This Row],[Risk_Level]]="CRITICAL RISK",tbl_SaaS_Audit[[#This Row],[Monthly_Revenue]]*12,TRUE,0)</f>
        <v>0</v>
      </c>
    </row>
    <row r="529" spans="1:16">
      <c r="A529" s="1">
        <v>528</v>
      </c>
      <c r="B529" s="1" t="s">
        <v>99</v>
      </c>
      <c r="C529" s="1" t="s">
        <v>14</v>
      </c>
      <c r="D529" s="2">
        <v>45496</v>
      </c>
      <c r="E529" s="1" t="s">
        <v>39</v>
      </c>
      <c r="F529" s="4">
        <v>1922.3</v>
      </c>
      <c r="G529" s="1" t="s">
        <v>42</v>
      </c>
      <c r="H529" s="2">
        <v>45973</v>
      </c>
      <c r="I529" s="1">
        <v>16</v>
      </c>
      <c r="J529" s="1" t="s">
        <v>34</v>
      </c>
      <c r="K529" s="1" t="str">
        <f>_xlfn.TEXTBEFORE(tbl_SaaS_Audit[[#This Row],[region]],"-")</f>
        <v>APAC</v>
      </c>
      <c r="L529" s="8" t="str">
        <f>_xlfn.TEXTAFTER(tbl_SaaS_Audit[[#This Row],[region]],"-")</f>
        <v>SGP</v>
      </c>
      <c r="M529" s="8">
        <f t="shared" si="8"/>
        <v>26</v>
      </c>
      <c r="N529" s="4">
        <f>tbl_SaaS_Audit[[#This Row],[Tenure_Months]]*tbl_SaaS_Audit[[#This Row],[Monthly_Revenue]]</f>
        <v>49979.799999999996</v>
      </c>
      <c r="O529" s="3" t="str" cm="1">
        <f t="array" ref="O52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29" s="4" cm="1">
        <f t="array" ref="P529">_xlfn.IFS(tbl_SaaS_Audit[[#This Row],[Risk_Level]]="CRITICAL RISK",tbl_SaaS_Audit[[#This Row],[Monthly_Revenue]]*12,TRUE,0)</f>
        <v>23067.599999999999</v>
      </c>
    </row>
    <row r="530" spans="1:16">
      <c r="A530" s="1">
        <v>529</v>
      </c>
      <c r="B530" s="1" t="s">
        <v>212</v>
      </c>
      <c r="C530" s="1" t="s">
        <v>11</v>
      </c>
      <c r="D530" s="2">
        <v>45461</v>
      </c>
      <c r="E530" s="1" t="s">
        <v>41</v>
      </c>
      <c r="F530" s="4">
        <v>14955.52</v>
      </c>
      <c r="G530" s="1" t="s">
        <v>49</v>
      </c>
      <c r="H530" s="2">
        <v>46159</v>
      </c>
      <c r="I530" s="1">
        <v>9</v>
      </c>
      <c r="J530" s="1" t="s">
        <v>51</v>
      </c>
      <c r="K530" s="1" t="str">
        <f>_xlfn.TEXTBEFORE(tbl_SaaS_Audit[[#This Row],[region]],"-")</f>
        <v>NA</v>
      </c>
      <c r="L530" s="8" t="str">
        <f>_xlfn.TEXTAFTER(tbl_SaaS_Audit[[#This Row],[region]],"-")</f>
        <v>EAST</v>
      </c>
      <c r="M530" s="8">
        <f t="shared" si="8"/>
        <v>27</v>
      </c>
      <c r="N530" s="4">
        <f>tbl_SaaS_Audit[[#This Row],[Tenure_Months]]*tbl_SaaS_Audit[[#This Row],[Monthly_Revenue]]</f>
        <v>403799.04000000004</v>
      </c>
      <c r="O530" s="3" t="str" cm="1">
        <f t="array" ref="O53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30" s="4" cm="1">
        <f t="array" ref="P530">_xlfn.IFS(tbl_SaaS_Audit[[#This Row],[Risk_Level]]="CRITICAL RISK",tbl_SaaS_Audit[[#This Row],[Monthly_Revenue]]*12,TRUE,0)</f>
        <v>0</v>
      </c>
    </row>
    <row r="531" spans="1:16">
      <c r="A531" s="1">
        <v>530</v>
      </c>
      <c r="B531" s="1" t="s">
        <v>322</v>
      </c>
      <c r="C531" s="1" t="s">
        <v>12</v>
      </c>
      <c r="D531" s="2">
        <v>45660</v>
      </c>
      <c r="E531" s="1" t="s">
        <v>39</v>
      </c>
      <c r="F531" s="4">
        <v>734.66</v>
      </c>
      <c r="G531" s="1" t="s">
        <v>49</v>
      </c>
      <c r="H531" s="2">
        <v>45989</v>
      </c>
      <c r="I531" s="1">
        <v>7</v>
      </c>
      <c r="J531" s="1" t="s">
        <v>45</v>
      </c>
      <c r="K531" s="1" t="str">
        <f>_xlfn.TEXTBEFORE(tbl_SaaS_Audit[[#This Row],[region]],"-")</f>
        <v>EU</v>
      </c>
      <c r="L531" s="8" t="str">
        <f>_xlfn.TEXTAFTER(tbl_SaaS_Audit[[#This Row],[region]],"-")</f>
        <v>CENTRAL</v>
      </c>
      <c r="M531" s="8">
        <f t="shared" si="8"/>
        <v>20</v>
      </c>
      <c r="N531" s="4">
        <f>tbl_SaaS_Audit[[#This Row],[Tenure_Months]]*tbl_SaaS_Audit[[#This Row],[Monthly_Revenue]]</f>
        <v>14693.199999999999</v>
      </c>
      <c r="O531" s="3" t="str" cm="1">
        <f t="array" ref="O53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31" s="4" cm="1">
        <f t="array" ref="P531">_xlfn.IFS(tbl_SaaS_Audit[[#This Row],[Risk_Level]]="CRITICAL RISK",tbl_SaaS_Audit[[#This Row],[Monthly_Revenue]]*12,TRUE,0)</f>
        <v>0</v>
      </c>
    </row>
    <row r="532" spans="1:16">
      <c r="A532" s="1">
        <v>531</v>
      </c>
      <c r="B532" s="1" t="s">
        <v>75</v>
      </c>
      <c r="C532" s="1" t="s">
        <v>14</v>
      </c>
      <c r="D532" s="2">
        <v>45379</v>
      </c>
      <c r="E532" s="1" t="s">
        <v>32</v>
      </c>
      <c r="F532" s="4">
        <v>11632.1</v>
      </c>
      <c r="G532" s="1" t="s">
        <v>42</v>
      </c>
      <c r="H532" s="2">
        <v>45994</v>
      </c>
      <c r="I532" s="1">
        <v>18</v>
      </c>
      <c r="J532" s="1" t="s">
        <v>34</v>
      </c>
      <c r="K532" s="1" t="str">
        <f>_xlfn.TEXTBEFORE(tbl_SaaS_Audit[[#This Row],[region]],"-")</f>
        <v>APAC</v>
      </c>
      <c r="L532" s="8" t="str">
        <f>_xlfn.TEXTAFTER(tbl_SaaS_Audit[[#This Row],[region]],"-")</f>
        <v>SGP</v>
      </c>
      <c r="M532" s="8">
        <f t="shared" si="8"/>
        <v>30</v>
      </c>
      <c r="N532" s="4">
        <f>tbl_SaaS_Audit[[#This Row],[Tenure_Months]]*tbl_SaaS_Audit[[#This Row],[Monthly_Revenue]]</f>
        <v>348963</v>
      </c>
      <c r="O532" s="3" t="str" cm="1">
        <f t="array" ref="O53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32" s="4" cm="1">
        <f t="array" ref="P532">_xlfn.IFS(tbl_SaaS_Audit[[#This Row],[Risk_Level]]="CRITICAL RISK",tbl_SaaS_Audit[[#This Row],[Monthly_Revenue]]*12,TRUE,0)</f>
        <v>139585.20000000001</v>
      </c>
    </row>
    <row r="533" spans="1:16">
      <c r="A533" s="1">
        <v>532</v>
      </c>
      <c r="B533" s="1" t="s">
        <v>127</v>
      </c>
      <c r="C533" s="1" t="s">
        <v>14</v>
      </c>
      <c r="D533" s="2">
        <v>45338</v>
      </c>
      <c r="E533" s="1" t="s">
        <v>41</v>
      </c>
      <c r="F533" s="4">
        <v>14544.72</v>
      </c>
      <c r="G533" s="1" t="s">
        <v>49</v>
      </c>
      <c r="H533" s="2">
        <v>45991</v>
      </c>
      <c r="I533" s="1">
        <v>10</v>
      </c>
      <c r="J533" s="1" t="s">
        <v>45</v>
      </c>
      <c r="K533" s="1" t="str">
        <f>_xlfn.TEXTBEFORE(tbl_SaaS_Audit[[#This Row],[region]],"-")</f>
        <v>EU</v>
      </c>
      <c r="L533" s="8" t="str">
        <f>_xlfn.TEXTAFTER(tbl_SaaS_Audit[[#This Row],[region]],"-")</f>
        <v>CENTRAL</v>
      </c>
      <c r="M533" s="8">
        <f t="shared" si="8"/>
        <v>31</v>
      </c>
      <c r="N533" s="4">
        <f>tbl_SaaS_Audit[[#This Row],[Tenure_Months]]*tbl_SaaS_Audit[[#This Row],[Monthly_Revenue]]</f>
        <v>450886.32</v>
      </c>
      <c r="O533" s="3" t="str" cm="1">
        <f t="array" ref="O53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33" s="4" cm="1">
        <f t="array" ref="P533">_xlfn.IFS(tbl_SaaS_Audit[[#This Row],[Risk_Level]]="CRITICAL RISK",tbl_SaaS_Audit[[#This Row],[Monthly_Revenue]]*12,TRUE,0)</f>
        <v>0</v>
      </c>
    </row>
    <row r="534" spans="1:16">
      <c r="A534" s="1">
        <v>533</v>
      </c>
      <c r="B534" s="1" t="s">
        <v>110</v>
      </c>
      <c r="C534" s="1" t="s">
        <v>11</v>
      </c>
      <c r="D534" s="2">
        <v>45456</v>
      </c>
      <c r="E534" s="1" t="s">
        <v>39</v>
      </c>
      <c r="F534" s="4">
        <v>7924.62</v>
      </c>
      <c r="G534" s="1" t="s">
        <v>36</v>
      </c>
      <c r="H534" s="2">
        <v>46043</v>
      </c>
      <c r="I534" s="1">
        <v>12</v>
      </c>
      <c r="J534" s="1" t="s">
        <v>37</v>
      </c>
      <c r="K534" s="1" t="str">
        <f>_xlfn.TEXTBEFORE(tbl_SaaS_Audit[[#This Row],[region]],"-")</f>
        <v>MEA</v>
      </c>
      <c r="L534" s="8" t="str">
        <f>_xlfn.TEXTAFTER(tbl_SaaS_Audit[[#This Row],[region]],"-")</f>
        <v>EGY</v>
      </c>
      <c r="M534" s="8">
        <f t="shared" si="8"/>
        <v>27</v>
      </c>
      <c r="N534" s="4">
        <f>tbl_SaaS_Audit[[#This Row],[Tenure_Months]]*tbl_SaaS_Audit[[#This Row],[Monthly_Revenue]]</f>
        <v>213964.74</v>
      </c>
      <c r="O534" s="3" t="str" cm="1">
        <f t="array" ref="O53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34" s="4" cm="1">
        <f t="array" ref="P534">_xlfn.IFS(tbl_SaaS_Audit[[#This Row],[Risk_Level]]="CRITICAL RISK",tbl_SaaS_Audit[[#This Row],[Monthly_Revenue]]*12,TRUE,0)</f>
        <v>0</v>
      </c>
    </row>
    <row r="535" spans="1:16">
      <c r="A535" s="1">
        <v>534</v>
      </c>
      <c r="B535" s="1" t="s">
        <v>139</v>
      </c>
      <c r="C535" s="1" t="s">
        <v>11</v>
      </c>
      <c r="D535" s="2">
        <v>45445</v>
      </c>
      <c r="E535" s="1" t="s">
        <v>41</v>
      </c>
      <c r="F535" s="4">
        <v>14972.82</v>
      </c>
      <c r="G535" s="1" t="s">
        <v>33</v>
      </c>
      <c r="H535" s="2">
        <v>46146</v>
      </c>
      <c r="I535" s="1">
        <v>8</v>
      </c>
      <c r="J535" s="1" t="s">
        <v>37</v>
      </c>
      <c r="K535" s="1" t="str">
        <f>_xlfn.TEXTBEFORE(tbl_SaaS_Audit[[#This Row],[region]],"-")</f>
        <v>MEA</v>
      </c>
      <c r="L535" s="8" t="str">
        <f>_xlfn.TEXTAFTER(tbl_SaaS_Audit[[#This Row],[region]],"-")</f>
        <v>EGY</v>
      </c>
      <c r="M535" s="8">
        <f t="shared" si="8"/>
        <v>23</v>
      </c>
      <c r="N535" s="4">
        <f>tbl_SaaS_Audit[[#This Row],[Tenure_Months]]*tbl_SaaS_Audit[[#This Row],[Monthly_Revenue]]</f>
        <v>344374.86</v>
      </c>
      <c r="O535" s="3" t="str" cm="1">
        <f t="array" ref="O53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35" s="4" cm="1">
        <f t="array" ref="P535">_xlfn.IFS(tbl_SaaS_Audit[[#This Row],[Risk_Level]]="CRITICAL RISK",tbl_SaaS_Audit[[#This Row],[Monthly_Revenue]]*12,TRUE,0)</f>
        <v>0</v>
      </c>
    </row>
    <row r="536" spans="1:16">
      <c r="A536" s="1">
        <v>535</v>
      </c>
      <c r="B536" s="1" t="s">
        <v>276</v>
      </c>
      <c r="C536" s="1" t="s">
        <v>14</v>
      </c>
      <c r="D536" s="2">
        <v>45825</v>
      </c>
      <c r="E536" s="1" t="s">
        <v>39</v>
      </c>
      <c r="F536" s="4">
        <v>8293.6200000000008</v>
      </c>
      <c r="G536" s="1" t="s">
        <v>36</v>
      </c>
      <c r="H536" s="2">
        <v>45949</v>
      </c>
      <c r="I536" s="1">
        <v>9</v>
      </c>
      <c r="J536" s="1" t="s">
        <v>34</v>
      </c>
      <c r="K536" s="1" t="str">
        <f>_xlfn.TEXTBEFORE(tbl_SaaS_Audit[[#This Row],[region]],"-")</f>
        <v>APAC</v>
      </c>
      <c r="L536" s="8" t="str">
        <f>_xlfn.TEXTAFTER(tbl_SaaS_Audit[[#This Row],[region]],"-")</f>
        <v>SGP</v>
      </c>
      <c r="M536" s="8">
        <f t="shared" si="8"/>
        <v>15</v>
      </c>
      <c r="N536" s="4">
        <f>tbl_SaaS_Audit[[#This Row],[Tenure_Months]]*tbl_SaaS_Audit[[#This Row],[Monthly_Revenue]]</f>
        <v>124404.30000000002</v>
      </c>
      <c r="O536" s="3" t="str" cm="1">
        <f t="array" ref="O53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36" s="4" cm="1">
        <f t="array" ref="P536">_xlfn.IFS(tbl_SaaS_Audit[[#This Row],[Risk_Level]]="CRITICAL RISK",tbl_SaaS_Audit[[#This Row],[Monthly_Revenue]]*12,TRUE,0)</f>
        <v>0</v>
      </c>
    </row>
    <row r="537" spans="1:16">
      <c r="A537" s="1">
        <v>536</v>
      </c>
      <c r="B537" s="1" t="s">
        <v>183</v>
      </c>
      <c r="C537" s="1" t="s">
        <v>12</v>
      </c>
      <c r="D537" s="2">
        <v>45587</v>
      </c>
      <c r="E537" s="1" t="s">
        <v>41</v>
      </c>
      <c r="F537" s="4">
        <v>11466.77</v>
      </c>
      <c r="G537" s="1" t="s">
        <v>36</v>
      </c>
      <c r="H537" s="2">
        <v>45848</v>
      </c>
      <c r="I537" s="1">
        <v>12</v>
      </c>
      <c r="J537" s="1" t="s">
        <v>45</v>
      </c>
      <c r="K537" s="1" t="str">
        <f>_xlfn.TEXTBEFORE(tbl_SaaS_Audit[[#This Row],[region]],"-")</f>
        <v>EU</v>
      </c>
      <c r="L537" s="8" t="str">
        <f>_xlfn.TEXTAFTER(tbl_SaaS_Audit[[#This Row],[region]],"-")</f>
        <v>CENTRAL</v>
      </c>
      <c r="M537" s="8">
        <f t="shared" si="8"/>
        <v>23</v>
      </c>
      <c r="N537" s="4">
        <f>tbl_SaaS_Audit[[#This Row],[Tenure_Months]]*tbl_SaaS_Audit[[#This Row],[Monthly_Revenue]]</f>
        <v>263735.71000000002</v>
      </c>
      <c r="O537" s="3" t="str" cm="1">
        <f t="array" ref="O53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37" s="4" cm="1">
        <f t="array" ref="P537">_xlfn.IFS(tbl_SaaS_Audit[[#This Row],[Risk_Level]]="CRITICAL RISK",tbl_SaaS_Audit[[#This Row],[Monthly_Revenue]]*12,TRUE,0)</f>
        <v>0</v>
      </c>
    </row>
    <row r="538" spans="1:16">
      <c r="A538" s="1">
        <v>537</v>
      </c>
      <c r="B538" s="1" t="s">
        <v>218</v>
      </c>
      <c r="C538" s="1" t="s">
        <v>12</v>
      </c>
      <c r="D538" s="2">
        <v>45784</v>
      </c>
      <c r="E538" s="1" t="s">
        <v>39</v>
      </c>
      <c r="F538" s="4">
        <v>7381.14</v>
      </c>
      <c r="G538" s="1" t="s">
        <v>33</v>
      </c>
      <c r="H538" s="1"/>
      <c r="I538" s="1">
        <v>14</v>
      </c>
      <c r="J538" s="1" t="s">
        <v>34</v>
      </c>
      <c r="K538" s="1" t="str">
        <f>_xlfn.TEXTBEFORE(tbl_SaaS_Audit[[#This Row],[region]],"-")</f>
        <v>APAC</v>
      </c>
      <c r="L538" s="8" t="str">
        <f>_xlfn.TEXTAFTER(tbl_SaaS_Audit[[#This Row],[region]],"-")</f>
        <v>SGP</v>
      </c>
      <c r="M538" s="8">
        <f t="shared" si="8"/>
        <v>16</v>
      </c>
      <c r="N538" s="4">
        <f>tbl_SaaS_Audit[[#This Row],[Tenure_Months]]*tbl_SaaS_Audit[[#This Row],[Monthly_Revenue]]</f>
        <v>118098.24000000001</v>
      </c>
      <c r="O538" s="3" t="str" cm="1">
        <f t="array" ref="O53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38" s="4" cm="1">
        <f t="array" ref="P538">_xlfn.IFS(tbl_SaaS_Audit[[#This Row],[Risk_Level]]="CRITICAL RISK",tbl_SaaS_Audit[[#This Row],[Monthly_Revenue]]*12,TRUE,0)</f>
        <v>0</v>
      </c>
    </row>
    <row r="539" spans="1:16">
      <c r="A539" s="1">
        <v>538</v>
      </c>
      <c r="B539" s="1" t="s">
        <v>287</v>
      </c>
      <c r="C539" s="1" t="s">
        <v>14</v>
      </c>
      <c r="D539" s="2">
        <v>45612</v>
      </c>
      <c r="E539" s="1" t="s">
        <v>32</v>
      </c>
      <c r="F539" s="4">
        <v>11817.98</v>
      </c>
      <c r="G539" s="1" t="s">
        <v>49</v>
      </c>
      <c r="H539" s="2">
        <v>45955</v>
      </c>
      <c r="I539" s="1">
        <v>14</v>
      </c>
      <c r="J539" s="1" t="s">
        <v>34</v>
      </c>
      <c r="K539" s="1" t="str">
        <f>_xlfn.TEXTBEFORE(tbl_SaaS_Audit[[#This Row],[region]],"-")</f>
        <v>APAC</v>
      </c>
      <c r="L539" s="8" t="str">
        <f>_xlfn.TEXTAFTER(tbl_SaaS_Audit[[#This Row],[region]],"-")</f>
        <v>SGP</v>
      </c>
      <c r="M539" s="8">
        <f t="shared" si="8"/>
        <v>22</v>
      </c>
      <c r="N539" s="4">
        <f>tbl_SaaS_Audit[[#This Row],[Tenure_Months]]*tbl_SaaS_Audit[[#This Row],[Monthly_Revenue]]</f>
        <v>259995.56</v>
      </c>
      <c r="O539" s="3" t="str" cm="1">
        <f t="array" ref="O53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39" s="4" cm="1">
        <f t="array" ref="P539">_xlfn.IFS(tbl_SaaS_Audit[[#This Row],[Risk_Level]]="CRITICAL RISK",tbl_SaaS_Audit[[#This Row],[Monthly_Revenue]]*12,TRUE,0)</f>
        <v>0</v>
      </c>
    </row>
    <row r="540" spans="1:16">
      <c r="A540" s="1">
        <v>539</v>
      </c>
      <c r="B540" s="1" t="s">
        <v>323</v>
      </c>
      <c r="C540" s="1" t="s">
        <v>15</v>
      </c>
      <c r="D540" s="2">
        <v>45412</v>
      </c>
      <c r="E540" s="1" t="s">
        <v>32</v>
      </c>
      <c r="F540" s="4">
        <v>756.38</v>
      </c>
      <c r="G540" s="1" t="s">
        <v>33</v>
      </c>
      <c r="H540" s="2">
        <v>45945</v>
      </c>
      <c r="I540" s="1">
        <v>3</v>
      </c>
      <c r="J540" s="1" t="s">
        <v>37</v>
      </c>
      <c r="K540" s="1" t="str">
        <f>_xlfn.TEXTBEFORE(tbl_SaaS_Audit[[#This Row],[region]],"-")</f>
        <v>MEA</v>
      </c>
      <c r="L540" s="8" t="str">
        <f>_xlfn.TEXTAFTER(tbl_SaaS_Audit[[#This Row],[region]],"-")</f>
        <v>EGY</v>
      </c>
      <c r="M540" s="8">
        <f t="shared" si="8"/>
        <v>18</v>
      </c>
      <c r="N540" s="4">
        <f>tbl_SaaS_Audit[[#This Row],[Tenure_Months]]*tbl_SaaS_Audit[[#This Row],[Monthly_Revenue]]</f>
        <v>13614.84</v>
      </c>
      <c r="O540" s="3" t="str" cm="1">
        <f t="array" ref="O54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40" s="4" cm="1">
        <f t="array" ref="P540">_xlfn.IFS(tbl_SaaS_Audit[[#This Row],[Risk_Level]]="CRITICAL RISK",tbl_SaaS_Audit[[#This Row],[Monthly_Revenue]]*12,TRUE,0)</f>
        <v>0</v>
      </c>
    </row>
    <row r="541" spans="1:16">
      <c r="A541" s="1">
        <v>540</v>
      </c>
      <c r="B541" s="1" t="s">
        <v>203</v>
      </c>
      <c r="C541" s="1" t="s">
        <v>15</v>
      </c>
      <c r="D541" s="2">
        <v>45571</v>
      </c>
      <c r="E541" s="1" t="s">
        <v>41</v>
      </c>
      <c r="F541" s="4">
        <v>1046.7</v>
      </c>
      <c r="G541" s="1" t="s">
        <v>42</v>
      </c>
      <c r="H541" s="2">
        <v>45861</v>
      </c>
      <c r="I541" s="1">
        <v>1</v>
      </c>
      <c r="J541" s="1" t="s">
        <v>34</v>
      </c>
      <c r="K541" s="1" t="str">
        <f>_xlfn.TEXTBEFORE(tbl_SaaS_Audit[[#This Row],[region]],"-")</f>
        <v>APAC</v>
      </c>
      <c r="L541" s="8" t="str">
        <f>_xlfn.TEXTAFTER(tbl_SaaS_Audit[[#This Row],[region]],"-")</f>
        <v>SGP</v>
      </c>
      <c r="M541" s="8">
        <f t="shared" si="8"/>
        <v>23</v>
      </c>
      <c r="N541" s="4">
        <f>tbl_SaaS_Audit[[#This Row],[Tenure_Months]]*tbl_SaaS_Audit[[#This Row],[Monthly_Revenue]]</f>
        <v>24074.100000000002</v>
      </c>
      <c r="O541" s="3" t="str" cm="1">
        <f t="array" ref="O54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41" s="4" cm="1">
        <f t="array" ref="P541">_xlfn.IFS(tbl_SaaS_Audit[[#This Row],[Risk_Level]]="CRITICAL RISK",tbl_SaaS_Audit[[#This Row],[Monthly_Revenue]]*12,TRUE,0)</f>
        <v>0</v>
      </c>
    </row>
    <row r="542" spans="1:16">
      <c r="A542" s="1">
        <v>541</v>
      </c>
      <c r="B542" s="1" t="s">
        <v>258</v>
      </c>
      <c r="C542" s="1" t="s">
        <v>13</v>
      </c>
      <c r="D542" s="2">
        <v>45387</v>
      </c>
      <c r="E542" s="1" t="s">
        <v>41</v>
      </c>
      <c r="F542" s="4">
        <v>5720.24</v>
      </c>
      <c r="G542" s="1" t="s">
        <v>49</v>
      </c>
      <c r="H542" s="2">
        <v>46195</v>
      </c>
      <c r="I542" s="1">
        <v>11</v>
      </c>
      <c r="J542" s="1" t="s">
        <v>34</v>
      </c>
      <c r="K542" s="1" t="str">
        <f>_xlfn.TEXTBEFORE(tbl_SaaS_Audit[[#This Row],[region]],"-")</f>
        <v>APAC</v>
      </c>
      <c r="L542" s="8" t="str">
        <f>_xlfn.TEXTAFTER(tbl_SaaS_Audit[[#This Row],[region]],"-")</f>
        <v>SGP</v>
      </c>
      <c r="M542" s="8">
        <f t="shared" si="8"/>
        <v>29</v>
      </c>
      <c r="N542" s="4">
        <f>tbl_SaaS_Audit[[#This Row],[Tenure_Months]]*tbl_SaaS_Audit[[#This Row],[Monthly_Revenue]]</f>
        <v>165886.96</v>
      </c>
      <c r="O542" s="3" t="str" cm="1">
        <f t="array" ref="O54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42" s="4" cm="1">
        <f t="array" ref="P542">_xlfn.IFS(tbl_SaaS_Audit[[#This Row],[Risk_Level]]="CRITICAL RISK",tbl_SaaS_Audit[[#This Row],[Monthly_Revenue]]*12,TRUE,0)</f>
        <v>0</v>
      </c>
    </row>
    <row r="543" spans="1:16">
      <c r="A543" s="1">
        <v>542</v>
      </c>
      <c r="B543" s="1" t="s">
        <v>52</v>
      </c>
      <c r="C543" s="1" t="s">
        <v>12</v>
      </c>
      <c r="D543" s="2">
        <v>45575</v>
      </c>
      <c r="E543" s="1" t="s">
        <v>39</v>
      </c>
      <c r="F543" s="4">
        <v>12787.12</v>
      </c>
      <c r="G543" s="1" t="s">
        <v>49</v>
      </c>
      <c r="H543" s="2">
        <v>45847</v>
      </c>
      <c r="I543" s="1">
        <v>2</v>
      </c>
      <c r="J543" s="1" t="s">
        <v>47</v>
      </c>
      <c r="K543" s="1" t="str">
        <f>_xlfn.TEXTBEFORE(tbl_SaaS_Audit[[#This Row],[region]],"-")</f>
        <v>NA</v>
      </c>
      <c r="L543" s="8" t="str">
        <f>_xlfn.TEXTAFTER(tbl_SaaS_Audit[[#This Row],[region]],"-")</f>
        <v>WEST</v>
      </c>
      <c r="M543" s="8">
        <f t="shared" si="8"/>
        <v>23</v>
      </c>
      <c r="N543" s="4">
        <f>tbl_SaaS_Audit[[#This Row],[Tenure_Months]]*tbl_SaaS_Audit[[#This Row],[Monthly_Revenue]]</f>
        <v>294103.76</v>
      </c>
      <c r="O543" s="3" t="str" cm="1">
        <f t="array" ref="O54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43" s="4" cm="1">
        <f t="array" ref="P543">_xlfn.IFS(tbl_SaaS_Audit[[#This Row],[Risk_Level]]="CRITICAL RISK",tbl_SaaS_Audit[[#This Row],[Monthly_Revenue]]*12,TRUE,0)</f>
        <v>0</v>
      </c>
    </row>
    <row r="544" spans="1:16">
      <c r="A544" s="1">
        <v>543</v>
      </c>
      <c r="B544" s="1" t="s">
        <v>307</v>
      </c>
      <c r="C544" s="1" t="s">
        <v>13</v>
      </c>
      <c r="D544" s="2">
        <v>45535</v>
      </c>
      <c r="E544" s="1" t="s">
        <v>39</v>
      </c>
      <c r="F544" s="4">
        <v>1577</v>
      </c>
      <c r="G544" s="1" t="s">
        <v>49</v>
      </c>
      <c r="H544" s="2">
        <v>46081</v>
      </c>
      <c r="I544" s="1">
        <v>7</v>
      </c>
      <c r="J544" s="1" t="s">
        <v>47</v>
      </c>
      <c r="K544" s="1" t="str">
        <f>_xlfn.TEXTBEFORE(tbl_SaaS_Audit[[#This Row],[region]],"-")</f>
        <v>NA</v>
      </c>
      <c r="L544" s="8" t="str">
        <f>_xlfn.TEXTAFTER(tbl_SaaS_Audit[[#This Row],[region]],"-")</f>
        <v>WEST</v>
      </c>
      <c r="M544" s="8">
        <f t="shared" si="8"/>
        <v>25</v>
      </c>
      <c r="N544" s="4">
        <f>tbl_SaaS_Audit[[#This Row],[Tenure_Months]]*tbl_SaaS_Audit[[#This Row],[Monthly_Revenue]]</f>
        <v>39425</v>
      </c>
      <c r="O544" s="3" t="str" cm="1">
        <f t="array" ref="O54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44" s="4" cm="1">
        <f t="array" ref="P544">_xlfn.IFS(tbl_SaaS_Audit[[#This Row],[Risk_Level]]="CRITICAL RISK",tbl_SaaS_Audit[[#This Row],[Monthly_Revenue]]*12,TRUE,0)</f>
        <v>0</v>
      </c>
    </row>
    <row r="545" spans="1:16">
      <c r="A545" s="1">
        <v>544</v>
      </c>
      <c r="B545" s="1" t="s">
        <v>157</v>
      </c>
      <c r="C545" s="1" t="s">
        <v>14</v>
      </c>
      <c r="D545" s="2">
        <v>45439</v>
      </c>
      <c r="E545" s="1" t="s">
        <v>39</v>
      </c>
      <c r="F545" s="4">
        <v>12804.19</v>
      </c>
      <c r="G545" s="1" t="s">
        <v>42</v>
      </c>
      <c r="H545" s="2">
        <v>46216</v>
      </c>
      <c r="I545" s="1">
        <v>16</v>
      </c>
      <c r="J545" s="1" t="s">
        <v>34</v>
      </c>
      <c r="K545" s="1" t="str">
        <f>_xlfn.TEXTBEFORE(tbl_SaaS_Audit[[#This Row],[region]],"-")</f>
        <v>APAC</v>
      </c>
      <c r="L545" s="8" t="str">
        <f>_xlfn.TEXTAFTER(tbl_SaaS_Audit[[#This Row],[region]],"-")</f>
        <v>SGP</v>
      </c>
      <c r="M545" s="8">
        <f t="shared" si="8"/>
        <v>28</v>
      </c>
      <c r="N545" s="4">
        <f>tbl_SaaS_Audit[[#This Row],[Tenure_Months]]*tbl_SaaS_Audit[[#This Row],[Monthly_Revenue]]</f>
        <v>358517.32</v>
      </c>
      <c r="O545" s="3" t="str" cm="1">
        <f t="array" ref="O54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45" s="4" cm="1">
        <f t="array" ref="P545">_xlfn.IFS(tbl_SaaS_Audit[[#This Row],[Risk_Level]]="CRITICAL RISK",tbl_SaaS_Audit[[#This Row],[Monthly_Revenue]]*12,TRUE,0)</f>
        <v>153650.28</v>
      </c>
    </row>
    <row r="546" spans="1:16">
      <c r="A546" s="1">
        <v>545</v>
      </c>
      <c r="B546" s="1" t="s">
        <v>106</v>
      </c>
      <c r="C546" s="1" t="s">
        <v>11</v>
      </c>
      <c r="D546" s="2">
        <v>45671</v>
      </c>
      <c r="E546" s="1" t="s">
        <v>41</v>
      </c>
      <c r="F546" s="4">
        <v>8246.14</v>
      </c>
      <c r="G546" s="1" t="s">
        <v>33</v>
      </c>
      <c r="H546" s="1"/>
      <c r="I546" s="1">
        <v>9</v>
      </c>
      <c r="J546" s="1" t="s">
        <v>37</v>
      </c>
      <c r="K546" s="1" t="str">
        <f>_xlfn.TEXTBEFORE(tbl_SaaS_Audit[[#This Row],[region]],"-")</f>
        <v>MEA</v>
      </c>
      <c r="L546" s="8" t="str">
        <f>_xlfn.TEXTAFTER(tbl_SaaS_Audit[[#This Row],[region]],"-")</f>
        <v>EGY</v>
      </c>
      <c r="M546" s="8">
        <f t="shared" si="8"/>
        <v>20</v>
      </c>
      <c r="N546" s="4">
        <f>tbl_SaaS_Audit[[#This Row],[Tenure_Months]]*tbl_SaaS_Audit[[#This Row],[Monthly_Revenue]]</f>
        <v>164922.79999999999</v>
      </c>
      <c r="O546" s="3" t="str" cm="1">
        <f t="array" ref="O54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46" s="4" cm="1">
        <f t="array" ref="P546">_xlfn.IFS(tbl_SaaS_Audit[[#This Row],[Risk_Level]]="CRITICAL RISK",tbl_SaaS_Audit[[#This Row],[Monthly_Revenue]]*12,TRUE,0)</f>
        <v>0</v>
      </c>
    </row>
    <row r="547" spans="1:16">
      <c r="A547" s="1">
        <v>546</v>
      </c>
      <c r="B547" s="1" t="s">
        <v>192</v>
      </c>
      <c r="C547" s="1" t="s">
        <v>13</v>
      </c>
      <c r="D547" s="2">
        <v>45773</v>
      </c>
      <c r="E547" s="1" t="s">
        <v>39</v>
      </c>
      <c r="F547" s="4">
        <v>11230.28</v>
      </c>
      <c r="G547" s="1" t="s">
        <v>36</v>
      </c>
      <c r="H547" s="2">
        <v>46140</v>
      </c>
      <c r="I547" s="1">
        <v>3</v>
      </c>
      <c r="J547" s="1" t="s">
        <v>47</v>
      </c>
      <c r="K547" s="1" t="str">
        <f>_xlfn.TEXTBEFORE(tbl_SaaS_Audit[[#This Row],[region]],"-")</f>
        <v>NA</v>
      </c>
      <c r="L547" s="8" t="str">
        <f>_xlfn.TEXTAFTER(tbl_SaaS_Audit[[#This Row],[region]],"-")</f>
        <v>WEST</v>
      </c>
      <c r="M547" s="8">
        <f t="shared" si="8"/>
        <v>17</v>
      </c>
      <c r="N547" s="4">
        <f>tbl_SaaS_Audit[[#This Row],[Tenure_Months]]*tbl_SaaS_Audit[[#This Row],[Monthly_Revenue]]</f>
        <v>190914.76</v>
      </c>
      <c r="O547" s="3" t="str" cm="1">
        <f t="array" ref="O54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47" s="4" cm="1">
        <f t="array" ref="P547">_xlfn.IFS(tbl_SaaS_Audit[[#This Row],[Risk_Level]]="CRITICAL RISK",tbl_SaaS_Audit[[#This Row],[Monthly_Revenue]]*12,TRUE,0)</f>
        <v>0</v>
      </c>
    </row>
    <row r="548" spans="1:16">
      <c r="A548" s="1">
        <v>547</v>
      </c>
      <c r="B548" s="1" t="s">
        <v>169</v>
      </c>
      <c r="C548" s="1" t="s">
        <v>14</v>
      </c>
      <c r="D548" s="2">
        <v>45681</v>
      </c>
      <c r="E548" s="1" t="s">
        <v>41</v>
      </c>
      <c r="F548" s="4">
        <v>3346.24</v>
      </c>
      <c r="G548" s="1" t="s">
        <v>42</v>
      </c>
      <c r="H548" s="2">
        <v>46207</v>
      </c>
      <c r="I548" s="1">
        <v>18</v>
      </c>
      <c r="J548" s="1" t="s">
        <v>45</v>
      </c>
      <c r="K548" s="1" t="str">
        <f>_xlfn.TEXTBEFORE(tbl_SaaS_Audit[[#This Row],[region]],"-")</f>
        <v>EU</v>
      </c>
      <c r="L548" s="8" t="str">
        <f>_xlfn.TEXTAFTER(tbl_SaaS_Audit[[#This Row],[region]],"-")</f>
        <v>CENTRAL</v>
      </c>
      <c r="M548" s="8">
        <f t="shared" si="8"/>
        <v>20</v>
      </c>
      <c r="N548" s="4">
        <f>tbl_SaaS_Audit[[#This Row],[Tenure_Months]]*tbl_SaaS_Audit[[#This Row],[Monthly_Revenue]]</f>
        <v>66924.799999999988</v>
      </c>
      <c r="O548" s="3" t="str" cm="1">
        <f t="array" ref="O54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48" s="4" cm="1">
        <f t="array" ref="P548">_xlfn.IFS(tbl_SaaS_Audit[[#This Row],[Risk_Level]]="CRITICAL RISK",tbl_SaaS_Audit[[#This Row],[Monthly_Revenue]]*12,TRUE,0)</f>
        <v>40154.879999999997</v>
      </c>
    </row>
    <row r="549" spans="1:16">
      <c r="A549" s="1">
        <v>548</v>
      </c>
      <c r="B549" s="1" t="s">
        <v>188</v>
      </c>
      <c r="C549" s="1" t="s">
        <v>12</v>
      </c>
      <c r="D549" s="2">
        <v>45619</v>
      </c>
      <c r="E549" s="1" t="s">
        <v>32</v>
      </c>
      <c r="F549" s="4">
        <v>2479.1</v>
      </c>
      <c r="G549" s="1" t="s">
        <v>42</v>
      </c>
      <c r="H549" s="2">
        <v>45938</v>
      </c>
      <c r="I549" s="1">
        <v>9</v>
      </c>
      <c r="J549" s="1" t="s">
        <v>45</v>
      </c>
      <c r="K549" s="1" t="str">
        <f>_xlfn.TEXTBEFORE(tbl_SaaS_Audit[[#This Row],[region]],"-")</f>
        <v>EU</v>
      </c>
      <c r="L549" s="8" t="str">
        <f>_xlfn.TEXTAFTER(tbl_SaaS_Audit[[#This Row],[region]],"-")</f>
        <v>CENTRAL</v>
      </c>
      <c r="M549" s="8">
        <f t="shared" si="8"/>
        <v>22</v>
      </c>
      <c r="N549" s="4">
        <f>tbl_SaaS_Audit[[#This Row],[Tenure_Months]]*tbl_SaaS_Audit[[#This Row],[Monthly_Revenue]]</f>
        <v>54540.2</v>
      </c>
      <c r="O549" s="3" t="str" cm="1">
        <f t="array" ref="O54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49" s="4" cm="1">
        <f t="array" ref="P549">_xlfn.IFS(tbl_SaaS_Audit[[#This Row],[Risk_Level]]="CRITICAL RISK",tbl_SaaS_Audit[[#This Row],[Monthly_Revenue]]*12,TRUE,0)</f>
        <v>0</v>
      </c>
    </row>
    <row r="550" spans="1:16">
      <c r="A550" s="1">
        <v>549</v>
      </c>
      <c r="B550" s="1" t="s">
        <v>147</v>
      </c>
      <c r="C550" s="1" t="s">
        <v>15</v>
      </c>
      <c r="D550" s="2">
        <v>45452</v>
      </c>
      <c r="E550" s="1" t="s">
        <v>41</v>
      </c>
      <c r="F550" s="4">
        <v>12146.61</v>
      </c>
      <c r="G550" s="1" t="s">
        <v>42</v>
      </c>
      <c r="H550" s="2">
        <v>46021</v>
      </c>
      <c r="I550" s="1">
        <v>12</v>
      </c>
      <c r="J550" s="1" t="s">
        <v>47</v>
      </c>
      <c r="K550" s="1" t="str">
        <f>_xlfn.TEXTBEFORE(tbl_SaaS_Audit[[#This Row],[region]],"-")</f>
        <v>NA</v>
      </c>
      <c r="L550" s="8" t="str">
        <f>_xlfn.TEXTAFTER(tbl_SaaS_Audit[[#This Row],[region]],"-")</f>
        <v>WEST</v>
      </c>
      <c r="M550" s="8">
        <f t="shared" si="8"/>
        <v>27</v>
      </c>
      <c r="N550" s="4">
        <f>tbl_SaaS_Audit[[#This Row],[Tenure_Months]]*tbl_SaaS_Audit[[#This Row],[Monthly_Revenue]]</f>
        <v>327958.47000000003</v>
      </c>
      <c r="O550" s="3" t="str" cm="1">
        <f t="array" ref="O55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50" s="4" cm="1">
        <f t="array" ref="P550">_xlfn.IFS(tbl_SaaS_Audit[[#This Row],[Risk_Level]]="CRITICAL RISK",tbl_SaaS_Audit[[#This Row],[Monthly_Revenue]]*12,TRUE,0)</f>
        <v>145759.32</v>
      </c>
    </row>
    <row r="551" spans="1:16">
      <c r="A551" s="1">
        <v>550</v>
      </c>
      <c r="B551" s="1" t="s">
        <v>309</v>
      </c>
      <c r="C551" s="1" t="s">
        <v>11</v>
      </c>
      <c r="D551" s="2">
        <v>45293</v>
      </c>
      <c r="E551" s="1" t="s">
        <v>41</v>
      </c>
      <c r="F551" s="4">
        <v>10222.98</v>
      </c>
      <c r="G551" s="1" t="s">
        <v>33</v>
      </c>
      <c r="H551" s="2">
        <v>46186</v>
      </c>
      <c r="I551" s="1">
        <v>15</v>
      </c>
      <c r="J551" s="1" t="s">
        <v>45</v>
      </c>
      <c r="K551" s="1" t="str">
        <f>_xlfn.TEXTBEFORE(tbl_SaaS_Audit[[#This Row],[region]],"-")</f>
        <v>EU</v>
      </c>
      <c r="L551" s="8" t="str">
        <f>_xlfn.TEXTAFTER(tbl_SaaS_Audit[[#This Row],[region]],"-")</f>
        <v>CENTRAL</v>
      </c>
      <c r="M551" s="8">
        <f t="shared" si="8"/>
        <v>29</v>
      </c>
      <c r="N551" s="4">
        <f>tbl_SaaS_Audit[[#This Row],[Tenure_Months]]*tbl_SaaS_Audit[[#This Row],[Monthly_Revenue]]</f>
        <v>296466.42</v>
      </c>
      <c r="O551" s="3" t="str" cm="1">
        <f t="array" ref="O55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51" s="4" cm="1">
        <f t="array" ref="P551">_xlfn.IFS(tbl_SaaS_Audit[[#This Row],[Risk_Level]]="CRITICAL RISK",tbl_SaaS_Audit[[#This Row],[Monthly_Revenue]]*12,TRUE,0)</f>
        <v>0</v>
      </c>
    </row>
    <row r="552" spans="1:16">
      <c r="A552" s="1">
        <v>551</v>
      </c>
      <c r="B552" s="1" t="s">
        <v>178</v>
      </c>
      <c r="C552" s="1" t="s">
        <v>15</v>
      </c>
      <c r="D552" s="2">
        <v>45306</v>
      </c>
      <c r="E552" s="1" t="s">
        <v>32</v>
      </c>
      <c r="F552" s="4">
        <v>2850.66</v>
      </c>
      <c r="G552" s="1" t="s">
        <v>49</v>
      </c>
      <c r="H552" s="2">
        <v>46046</v>
      </c>
      <c r="I552" s="1">
        <v>10</v>
      </c>
      <c r="J552" s="1" t="s">
        <v>34</v>
      </c>
      <c r="K552" s="1" t="str">
        <f>_xlfn.TEXTBEFORE(tbl_SaaS_Audit[[#This Row],[region]],"-")</f>
        <v>APAC</v>
      </c>
      <c r="L552" s="8" t="str">
        <f>_xlfn.TEXTAFTER(tbl_SaaS_Audit[[#This Row],[region]],"-")</f>
        <v>SGP</v>
      </c>
      <c r="M552" s="8">
        <f t="shared" si="8"/>
        <v>32</v>
      </c>
      <c r="N552" s="4">
        <f>tbl_SaaS_Audit[[#This Row],[Tenure_Months]]*tbl_SaaS_Audit[[#This Row],[Monthly_Revenue]]</f>
        <v>91221.119999999995</v>
      </c>
      <c r="O552" s="3" t="str" cm="1">
        <f t="array" ref="O55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52" s="4" cm="1">
        <f t="array" ref="P552">_xlfn.IFS(tbl_SaaS_Audit[[#This Row],[Risk_Level]]="CRITICAL RISK",tbl_SaaS_Audit[[#This Row],[Monthly_Revenue]]*12,TRUE,0)</f>
        <v>0</v>
      </c>
    </row>
    <row r="553" spans="1:16">
      <c r="A553" s="1">
        <v>552</v>
      </c>
      <c r="B553" s="1" t="s">
        <v>296</v>
      </c>
      <c r="C553" s="1" t="s">
        <v>11</v>
      </c>
      <c r="D553" s="2">
        <v>45599</v>
      </c>
      <c r="E553" s="1" t="s">
        <v>32</v>
      </c>
      <c r="F553" s="4">
        <v>11454.96</v>
      </c>
      <c r="G553" s="1" t="s">
        <v>36</v>
      </c>
      <c r="H553" s="2">
        <v>45888</v>
      </c>
      <c r="I553" s="1">
        <v>14</v>
      </c>
      <c r="J553" s="1" t="s">
        <v>47</v>
      </c>
      <c r="K553" s="1" t="str">
        <f>_xlfn.TEXTBEFORE(tbl_SaaS_Audit[[#This Row],[region]],"-")</f>
        <v>NA</v>
      </c>
      <c r="L553" s="8" t="str">
        <f>_xlfn.TEXTAFTER(tbl_SaaS_Audit[[#This Row],[region]],"-")</f>
        <v>WEST</v>
      </c>
      <c r="M553" s="8">
        <f t="shared" si="8"/>
        <v>22</v>
      </c>
      <c r="N553" s="4">
        <f>tbl_SaaS_Audit[[#This Row],[Tenure_Months]]*tbl_SaaS_Audit[[#This Row],[Monthly_Revenue]]</f>
        <v>252009.12</v>
      </c>
      <c r="O553" s="3" t="str" cm="1">
        <f t="array" ref="O55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53" s="4" cm="1">
        <f t="array" ref="P553">_xlfn.IFS(tbl_SaaS_Audit[[#This Row],[Risk_Level]]="CRITICAL RISK",tbl_SaaS_Audit[[#This Row],[Monthly_Revenue]]*12,TRUE,0)</f>
        <v>0</v>
      </c>
    </row>
    <row r="554" spans="1:16">
      <c r="A554" s="1">
        <v>553</v>
      </c>
      <c r="B554" s="1" t="s">
        <v>324</v>
      </c>
      <c r="C554" s="1" t="s">
        <v>14</v>
      </c>
      <c r="D554" s="2">
        <v>45527</v>
      </c>
      <c r="E554" s="1" t="s">
        <v>32</v>
      </c>
      <c r="F554" s="4">
        <v>10224.6</v>
      </c>
      <c r="G554" s="1" t="s">
        <v>49</v>
      </c>
      <c r="H554" s="1"/>
      <c r="I554" s="1">
        <v>15</v>
      </c>
      <c r="J554" s="1" t="s">
        <v>45</v>
      </c>
      <c r="K554" s="1" t="str">
        <f>_xlfn.TEXTBEFORE(tbl_SaaS_Audit[[#This Row],[region]],"-")</f>
        <v>EU</v>
      </c>
      <c r="L554" s="8" t="str">
        <f>_xlfn.TEXTAFTER(tbl_SaaS_Audit[[#This Row],[region]],"-")</f>
        <v>CENTRAL</v>
      </c>
      <c r="M554" s="8">
        <f t="shared" si="8"/>
        <v>25</v>
      </c>
      <c r="N554" s="4">
        <f>tbl_SaaS_Audit[[#This Row],[Tenure_Months]]*tbl_SaaS_Audit[[#This Row],[Monthly_Revenue]]</f>
        <v>255615</v>
      </c>
      <c r="O554" s="3" t="str" cm="1">
        <f t="array" ref="O55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54" s="4" cm="1">
        <f t="array" ref="P554">_xlfn.IFS(tbl_SaaS_Audit[[#This Row],[Risk_Level]]="CRITICAL RISK",tbl_SaaS_Audit[[#This Row],[Monthly_Revenue]]*12,TRUE,0)</f>
        <v>0</v>
      </c>
    </row>
    <row r="555" spans="1:16">
      <c r="A555" s="1">
        <v>554</v>
      </c>
      <c r="B555" s="1" t="s">
        <v>319</v>
      </c>
      <c r="C555" s="1" t="s">
        <v>14</v>
      </c>
      <c r="D555" s="2">
        <v>45292</v>
      </c>
      <c r="E555" s="1" t="s">
        <v>41</v>
      </c>
      <c r="F555" s="4">
        <v>14700.55</v>
      </c>
      <c r="G555" s="1" t="s">
        <v>42</v>
      </c>
      <c r="H555" s="2">
        <v>46122</v>
      </c>
      <c r="I555" s="1">
        <v>18</v>
      </c>
      <c r="J555" s="1" t="s">
        <v>45</v>
      </c>
      <c r="K555" s="1" t="str">
        <f>_xlfn.TEXTBEFORE(tbl_SaaS_Audit[[#This Row],[region]],"-")</f>
        <v>EU</v>
      </c>
      <c r="L555" s="8" t="str">
        <f>_xlfn.TEXTAFTER(tbl_SaaS_Audit[[#This Row],[region]],"-")</f>
        <v>CENTRAL</v>
      </c>
      <c r="M555" s="8">
        <f t="shared" si="8"/>
        <v>32</v>
      </c>
      <c r="N555" s="4">
        <f>tbl_SaaS_Audit[[#This Row],[Tenure_Months]]*tbl_SaaS_Audit[[#This Row],[Monthly_Revenue]]</f>
        <v>470417.6</v>
      </c>
      <c r="O555" s="3" t="str" cm="1">
        <f t="array" ref="O55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55" s="4" cm="1">
        <f t="array" ref="P555">_xlfn.IFS(tbl_SaaS_Audit[[#This Row],[Risk_Level]]="CRITICAL RISK",tbl_SaaS_Audit[[#This Row],[Monthly_Revenue]]*12,TRUE,0)</f>
        <v>176406.59999999998</v>
      </c>
    </row>
    <row r="556" spans="1:16">
      <c r="A556" s="1">
        <v>555</v>
      </c>
      <c r="B556" s="1" t="s">
        <v>97</v>
      </c>
      <c r="C556" s="1" t="s">
        <v>11</v>
      </c>
      <c r="D556" s="2">
        <v>45369</v>
      </c>
      <c r="E556" s="1" t="s">
        <v>41</v>
      </c>
      <c r="F556" s="4">
        <v>2251.41</v>
      </c>
      <c r="G556" s="1" t="s">
        <v>33</v>
      </c>
      <c r="H556" s="2">
        <v>45921</v>
      </c>
      <c r="I556" s="1">
        <v>9</v>
      </c>
      <c r="J556" s="1" t="s">
        <v>37</v>
      </c>
      <c r="K556" s="1" t="str">
        <f>_xlfn.TEXTBEFORE(tbl_SaaS_Audit[[#This Row],[region]],"-")</f>
        <v>MEA</v>
      </c>
      <c r="L556" s="8" t="str">
        <f>_xlfn.TEXTAFTER(tbl_SaaS_Audit[[#This Row],[region]],"-")</f>
        <v>EGY</v>
      </c>
      <c r="M556" s="8">
        <f t="shared" si="8"/>
        <v>18</v>
      </c>
      <c r="N556" s="4">
        <f>tbl_SaaS_Audit[[#This Row],[Tenure_Months]]*tbl_SaaS_Audit[[#This Row],[Monthly_Revenue]]</f>
        <v>40525.379999999997</v>
      </c>
      <c r="O556" s="3" t="str" cm="1">
        <f t="array" ref="O55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56" s="4" cm="1">
        <f t="array" ref="P556">_xlfn.IFS(tbl_SaaS_Audit[[#This Row],[Risk_Level]]="CRITICAL RISK",tbl_SaaS_Audit[[#This Row],[Monthly_Revenue]]*12,TRUE,0)</f>
        <v>0</v>
      </c>
    </row>
    <row r="557" spans="1:16">
      <c r="A557" s="1">
        <v>556</v>
      </c>
      <c r="B557" s="1" t="s">
        <v>186</v>
      </c>
      <c r="C557" s="1" t="s">
        <v>14</v>
      </c>
      <c r="D557" s="2">
        <v>45514</v>
      </c>
      <c r="E557" s="1" t="s">
        <v>41</v>
      </c>
      <c r="F557" s="4">
        <v>4569.8100000000004</v>
      </c>
      <c r="G557" s="1" t="s">
        <v>49</v>
      </c>
      <c r="H557" s="1"/>
      <c r="I557" s="1">
        <v>3</v>
      </c>
      <c r="J557" s="1" t="s">
        <v>37</v>
      </c>
      <c r="K557" s="1" t="str">
        <f>_xlfn.TEXTBEFORE(tbl_SaaS_Audit[[#This Row],[region]],"-")</f>
        <v>MEA</v>
      </c>
      <c r="L557" s="8" t="str">
        <f>_xlfn.TEXTAFTER(tbl_SaaS_Audit[[#This Row],[region]],"-")</f>
        <v>EGY</v>
      </c>
      <c r="M557" s="8">
        <f t="shared" si="8"/>
        <v>25</v>
      </c>
      <c r="N557" s="4">
        <f>tbl_SaaS_Audit[[#This Row],[Tenure_Months]]*tbl_SaaS_Audit[[#This Row],[Monthly_Revenue]]</f>
        <v>114245.25000000001</v>
      </c>
      <c r="O557" s="3" t="str" cm="1">
        <f t="array" ref="O55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57" s="4" cm="1">
        <f t="array" ref="P557">_xlfn.IFS(tbl_SaaS_Audit[[#This Row],[Risk_Level]]="CRITICAL RISK",tbl_SaaS_Audit[[#This Row],[Monthly_Revenue]]*12,TRUE,0)</f>
        <v>0</v>
      </c>
    </row>
    <row r="558" spans="1:16">
      <c r="A558" s="1">
        <v>557</v>
      </c>
      <c r="B558" s="1" t="s">
        <v>203</v>
      </c>
      <c r="C558" s="1" t="s">
        <v>12</v>
      </c>
      <c r="D558" s="2">
        <v>45379</v>
      </c>
      <c r="E558" s="1" t="s">
        <v>39</v>
      </c>
      <c r="F558" s="4">
        <v>4197.2299999999996</v>
      </c>
      <c r="G558" s="1" t="s">
        <v>33</v>
      </c>
      <c r="H558" s="2">
        <v>45992</v>
      </c>
      <c r="I558" s="1">
        <v>5</v>
      </c>
      <c r="J558" s="1" t="s">
        <v>34</v>
      </c>
      <c r="K558" s="1" t="str">
        <f>_xlfn.TEXTBEFORE(tbl_SaaS_Audit[[#This Row],[region]],"-")</f>
        <v>APAC</v>
      </c>
      <c r="L558" s="8" t="str">
        <f>_xlfn.TEXTAFTER(tbl_SaaS_Audit[[#This Row],[region]],"-")</f>
        <v>SGP</v>
      </c>
      <c r="M558" s="8">
        <f t="shared" si="8"/>
        <v>21</v>
      </c>
      <c r="N558" s="4">
        <f>tbl_SaaS_Audit[[#This Row],[Tenure_Months]]*tbl_SaaS_Audit[[#This Row],[Monthly_Revenue]]</f>
        <v>88141.829999999987</v>
      </c>
      <c r="O558" s="3" t="str" cm="1">
        <f t="array" ref="O55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58" s="4" cm="1">
        <f t="array" ref="P558">_xlfn.IFS(tbl_SaaS_Audit[[#This Row],[Risk_Level]]="CRITICAL RISK",tbl_SaaS_Audit[[#This Row],[Monthly_Revenue]]*12,TRUE,0)</f>
        <v>0</v>
      </c>
    </row>
    <row r="559" spans="1:16">
      <c r="A559" s="1">
        <v>558</v>
      </c>
      <c r="B559" s="1" t="s">
        <v>236</v>
      </c>
      <c r="C559" s="1" t="s">
        <v>14</v>
      </c>
      <c r="D559" s="2">
        <v>45347</v>
      </c>
      <c r="E559" s="1" t="s">
        <v>39</v>
      </c>
      <c r="F559" s="4">
        <v>10824.17</v>
      </c>
      <c r="G559" s="1" t="s">
        <v>36</v>
      </c>
      <c r="H559" s="1"/>
      <c r="I559" s="1">
        <v>13</v>
      </c>
      <c r="J559" s="1" t="s">
        <v>47</v>
      </c>
      <c r="K559" s="1" t="str">
        <f>_xlfn.TEXTBEFORE(tbl_SaaS_Audit[[#This Row],[region]],"-")</f>
        <v>NA</v>
      </c>
      <c r="L559" s="8" t="str">
        <f>_xlfn.TEXTAFTER(tbl_SaaS_Audit[[#This Row],[region]],"-")</f>
        <v>WEST</v>
      </c>
      <c r="M559" s="8">
        <f t="shared" si="8"/>
        <v>31</v>
      </c>
      <c r="N559" s="4">
        <f>tbl_SaaS_Audit[[#This Row],[Tenure_Months]]*tbl_SaaS_Audit[[#This Row],[Monthly_Revenue]]</f>
        <v>335549.27</v>
      </c>
      <c r="O559" s="3" t="str" cm="1">
        <f t="array" ref="O55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59" s="4" cm="1">
        <f t="array" ref="P559">_xlfn.IFS(tbl_SaaS_Audit[[#This Row],[Risk_Level]]="CRITICAL RISK",tbl_SaaS_Audit[[#This Row],[Monthly_Revenue]]*12,TRUE,0)</f>
        <v>0</v>
      </c>
    </row>
    <row r="560" spans="1:16">
      <c r="A560" s="1">
        <v>559</v>
      </c>
      <c r="B560" s="1" t="s">
        <v>160</v>
      </c>
      <c r="C560" s="1" t="s">
        <v>14</v>
      </c>
      <c r="D560" s="2">
        <v>45763</v>
      </c>
      <c r="E560" s="1" t="s">
        <v>39</v>
      </c>
      <c r="F560" s="4">
        <v>6755.69</v>
      </c>
      <c r="G560" s="1" t="s">
        <v>42</v>
      </c>
      <c r="H560" s="2">
        <v>46165</v>
      </c>
      <c r="I560" s="1">
        <v>6</v>
      </c>
      <c r="J560" s="1" t="s">
        <v>47</v>
      </c>
      <c r="K560" s="1" t="str">
        <f>_xlfn.TEXTBEFORE(tbl_SaaS_Audit[[#This Row],[region]],"-")</f>
        <v>NA</v>
      </c>
      <c r="L560" s="8" t="str">
        <f>_xlfn.TEXTAFTER(tbl_SaaS_Audit[[#This Row],[region]],"-")</f>
        <v>WEST</v>
      </c>
      <c r="M560" s="8">
        <f t="shared" si="8"/>
        <v>17</v>
      </c>
      <c r="N560" s="4">
        <f>tbl_SaaS_Audit[[#This Row],[Tenure_Months]]*tbl_SaaS_Audit[[#This Row],[Monthly_Revenue]]</f>
        <v>114846.73</v>
      </c>
      <c r="O560" s="3" t="str" cm="1">
        <f t="array" ref="O56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60" s="4" cm="1">
        <f t="array" ref="P560">_xlfn.IFS(tbl_SaaS_Audit[[#This Row],[Risk_Level]]="CRITICAL RISK",tbl_SaaS_Audit[[#This Row],[Monthly_Revenue]]*12,TRUE,0)</f>
        <v>0</v>
      </c>
    </row>
    <row r="561" spans="1:16">
      <c r="A561" s="1">
        <v>560</v>
      </c>
      <c r="B561" s="1" t="s">
        <v>62</v>
      </c>
      <c r="C561" s="1" t="s">
        <v>14</v>
      </c>
      <c r="D561" s="2">
        <v>45482</v>
      </c>
      <c r="E561" s="1" t="s">
        <v>32</v>
      </c>
      <c r="F561" s="4">
        <v>8023.07</v>
      </c>
      <c r="G561" s="1" t="s">
        <v>42</v>
      </c>
      <c r="H561" s="2">
        <v>46254</v>
      </c>
      <c r="I561" s="1">
        <v>8</v>
      </c>
      <c r="J561" s="1" t="s">
        <v>51</v>
      </c>
      <c r="K561" s="1" t="str">
        <f>_xlfn.TEXTBEFORE(tbl_SaaS_Audit[[#This Row],[region]],"-")</f>
        <v>NA</v>
      </c>
      <c r="L561" s="8" t="str">
        <f>_xlfn.TEXTAFTER(tbl_SaaS_Audit[[#This Row],[region]],"-")</f>
        <v>EAST</v>
      </c>
      <c r="M561" s="8">
        <f t="shared" si="8"/>
        <v>26</v>
      </c>
      <c r="N561" s="4">
        <f>tbl_SaaS_Audit[[#This Row],[Tenure_Months]]*tbl_SaaS_Audit[[#This Row],[Monthly_Revenue]]</f>
        <v>208599.82</v>
      </c>
      <c r="O561" s="3" t="str" cm="1">
        <f t="array" ref="O56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61" s="4" cm="1">
        <f t="array" ref="P561">_xlfn.IFS(tbl_SaaS_Audit[[#This Row],[Risk_Level]]="CRITICAL RISK",tbl_SaaS_Audit[[#This Row],[Monthly_Revenue]]*12,TRUE,0)</f>
        <v>0</v>
      </c>
    </row>
    <row r="562" spans="1:16">
      <c r="A562" s="1">
        <v>561</v>
      </c>
      <c r="B562" s="1" t="s">
        <v>280</v>
      </c>
      <c r="C562" s="1" t="s">
        <v>14</v>
      </c>
      <c r="D562" s="2">
        <v>45644</v>
      </c>
      <c r="E562" s="1" t="s">
        <v>32</v>
      </c>
      <c r="F562" s="4">
        <v>10456.39</v>
      </c>
      <c r="G562" s="1" t="s">
        <v>42</v>
      </c>
      <c r="H562" s="2">
        <v>46231</v>
      </c>
      <c r="I562" s="1">
        <v>9</v>
      </c>
      <c r="J562" s="1" t="s">
        <v>37</v>
      </c>
      <c r="K562" s="1" t="str">
        <f>_xlfn.TEXTBEFORE(tbl_SaaS_Audit[[#This Row],[region]],"-")</f>
        <v>MEA</v>
      </c>
      <c r="L562" s="8" t="str">
        <f>_xlfn.TEXTAFTER(tbl_SaaS_Audit[[#This Row],[region]],"-")</f>
        <v>EGY</v>
      </c>
      <c r="M562" s="8">
        <f t="shared" si="8"/>
        <v>21</v>
      </c>
      <c r="N562" s="4">
        <f>tbl_SaaS_Audit[[#This Row],[Tenure_Months]]*tbl_SaaS_Audit[[#This Row],[Monthly_Revenue]]</f>
        <v>219584.19</v>
      </c>
      <c r="O562" s="3" t="str" cm="1">
        <f t="array" ref="O56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62" s="4" cm="1">
        <f t="array" ref="P562">_xlfn.IFS(tbl_SaaS_Audit[[#This Row],[Risk_Level]]="CRITICAL RISK",tbl_SaaS_Audit[[#This Row],[Monthly_Revenue]]*12,TRUE,0)</f>
        <v>0</v>
      </c>
    </row>
    <row r="563" spans="1:16">
      <c r="A563" s="1">
        <v>562</v>
      </c>
      <c r="B563" s="1" t="s">
        <v>325</v>
      </c>
      <c r="C563" s="1" t="s">
        <v>11</v>
      </c>
      <c r="D563" s="2">
        <v>45676</v>
      </c>
      <c r="E563" s="1" t="s">
        <v>32</v>
      </c>
      <c r="F563" s="4">
        <v>12423.65</v>
      </c>
      <c r="G563" s="1" t="s">
        <v>49</v>
      </c>
      <c r="H563" s="2">
        <v>46177</v>
      </c>
      <c r="I563" s="1">
        <v>3</v>
      </c>
      <c r="J563" s="1" t="s">
        <v>47</v>
      </c>
      <c r="K563" s="1" t="str">
        <f>_xlfn.TEXTBEFORE(tbl_SaaS_Audit[[#This Row],[region]],"-")</f>
        <v>NA</v>
      </c>
      <c r="L563" s="8" t="str">
        <f>_xlfn.TEXTAFTER(tbl_SaaS_Audit[[#This Row],[region]],"-")</f>
        <v>WEST</v>
      </c>
      <c r="M563" s="8">
        <f t="shared" si="8"/>
        <v>20</v>
      </c>
      <c r="N563" s="4">
        <f>tbl_SaaS_Audit[[#This Row],[Tenure_Months]]*tbl_SaaS_Audit[[#This Row],[Monthly_Revenue]]</f>
        <v>248473</v>
      </c>
      <c r="O563" s="3" t="str" cm="1">
        <f t="array" ref="O56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63" s="4" cm="1">
        <f t="array" ref="P563">_xlfn.IFS(tbl_SaaS_Audit[[#This Row],[Risk_Level]]="CRITICAL RISK",tbl_SaaS_Audit[[#This Row],[Monthly_Revenue]]*12,TRUE,0)</f>
        <v>0</v>
      </c>
    </row>
    <row r="564" spans="1:16">
      <c r="A564" s="1">
        <v>563</v>
      </c>
      <c r="B564" s="1" t="s">
        <v>326</v>
      </c>
      <c r="C564" s="1" t="s">
        <v>11</v>
      </c>
      <c r="D564" s="2">
        <v>45430</v>
      </c>
      <c r="E564" s="1" t="s">
        <v>41</v>
      </c>
      <c r="F564" s="4">
        <v>2917.15</v>
      </c>
      <c r="G564" s="1" t="s">
        <v>33</v>
      </c>
      <c r="H564" s="2">
        <v>45874</v>
      </c>
      <c r="I564" s="1">
        <v>2</v>
      </c>
      <c r="J564" s="1" t="s">
        <v>47</v>
      </c>
      <c r="K564" s="1" t="str">
        <f>_xlfn.TEXTBEFORE(tbl_SaaS_Audit[[#This Row],[region]],"-")</f>
        <v>NA</v>
      </c>
      <c r="L564" s="8" t="str">
        <f>_xlfn.TEXTAFTER(tbl_SaaS_Audit[[#This Row],[region]],"-")</f>
        <v>WEST</v>
      </c>
      <c r="M564" s="8">
        <f t="shared" si="8"/>
        <v>15</v>
      </c>
      <c r="N564" s="4">
        <f>tbl_SaaS_Audit[[#This Row],[Tenure_Months]]*tbl_SaaS_Audit[[#This Row],[Monthly_Revenue]]</f>
        <v>43757.25</v>
      </c>
      <c r="O564" s="3" t="str" cm="1">
        <f t="array" ref="O56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64" s="4" cm="1">
        <f t="array" ref="P564">_xlfn.IFS(tbl_SaaS_Audit[[#This Row],[Risk_Level]]="CRITICAL RISK",tbl_SaaS_Audit[[#This Row],[Monthly_Revenue]]*12,TRUE,0)</f>
        <v>0</v>
      </c>
    </row>
    <row r="565" spans="1:16">
      <c r="A565" s="1">
        <v>564</v>
      </c>
      <c r="B565" s="1" t="s">
        <v>327</v>
      </c>
      <c r="C565" s="1" t="s">
        <v>12</v>
      </c>
      <c r="D565" s="2">
        <v>45316</v>
      </c>
      <c r="E565" s="1" t="s">
        <v>32</v>
      </c>
      <c r="F565" s="4">
        <v>11506.69</v>
      </c>
      <c r="G565" s="1" t="s">
        <v>33</v>
      </c>
      <c r="H565" s="2">
        <v>45932</v>
      </c>
      <c r="I565" s="1">
        <v>2</v>
      </c>
      <c r="J565" s="1" t="s">
        <v>47</v>
      </c>
      <c r="K565" s="1" t="str">
        <f>_xlfn.TEXTBEFORE(tbl_SaaS_Audit[[#This Row],[region]],"-")</f>
        <v>NA</v>
      </c>
      <c r="L565" s="8" t="str">
        <f>_xlfn.TEXTAFTER(tbl_SaaS_Audit[[#This Row],[region]],"-")</f>
        <v>WEST</v>
      </c>
      <c r="M565" s="8">
        <f t="shared" si="8"/>
        <v>21</v>
      </c>
      <c r="N565" s="4">
        <f>tbl_SaaS_Audit[[#This Row],[Tenure_Months]]*tbl_SaaS_Audit[[#This Row],[Monthly_Revenue]]</f>
        <v>241640.49000000002</v>
      </c>
      <c r="O565" s="3" t="str" cm="1">
        <f t="array" ref="O56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65" s="4" cm="1">
        <f t="array" ref="P565">_xlfn.IFS(tbl_SaaS_Audit[[#This Row],[Risk_Level]]="CRITICAL RISK",tbl_SaaS_Audit[[#This Row],[Monthly_Revenue]]*12,TRUE,0)</f>
        <v>0</v>
      </c>
    </row>
    <row r="566" spans="1:16">
      <c r="A566" s="1">
        <v>565</v>
      </c>
      <c r="B566" s="1" t="s">
        <v>93</v>
      </c>
      <c r="C566" s="1" t="s">
        <v>15</v>
      </c>
      <c r="D566" s="2">
        <v>45799</v>
      </c>
      <c r="E566" s="1" t="s">
        <v>41</v>
      </c>
      <c r="F566" s="4">
        <v>5774.38</v>
      </c>
      <c r="G566" s="1" t="s">
        <v>36</v>
      </c>
      <c r="H566" s="1"/>
      <c r="I566" s="1">
        <v>11</v>
      </c>
      <c r="J566" s="1" t="s">
        <v>47</v>
      </c>
      <c r="K566" s="1" t="str">
        <f>_xlfn.TEXTBEFORE(tbl_SaaS_Audit[[#This Row],[region]],"-")</f>
        <v>NA</v>
      </c>
      <c r="L566" s="8" t="str">
        <f>_xlfn.TEXTAFTER(tbl_SaaS_Audit[[#This Row],[region]],"-")</f>
        <v>WEST</v>
      </c>
      <c r="M566" s="8">
        <f t="shared" si="8"/>
        <v>16</v>
      </c>
      <c r="N566" s="4">
        <f>tbl_SaaS_Audit[[#This Row],[Tenure_Months]]*tbl_SaaS_Audit[[#This Row],[Monthly_Revenue]]</f>
        <v>92390.080000000002</v>
      </c>
      <c r="O566" s="3" t="str" cm="1">
        <f t="array" ref="O56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66" s="4" cm="1">
        <f t="array" ref="P566">_xlfn.IFS(tbl_SaaS_Audit[[#This Row],[Risk_Level]]="CRITICAL RISK",tbl_SaaS_Audit[[#This Row],[Monthly_Revenue]]*12,TRUE,0)</f>
        <v>0</v>
      </c>
    </row>
    <row r="567" spans="1:16">
      <c r="A567" s="1">
        <v>566</v>
      </c>
      <c r="B567" s="1" t="s">
        <v>266</v>
      </c>
      <c r="C567" s="1" t="s">
        <v>13</v>
      </c>
      <c r="D567" s="2">
        <v>45791</v>
      </c>
      <c r="E567" s="1" t="s">
        <v>39</v>
      </c>
      <c r="F567" s="4">
        <v>7567.47</v>
      </c>
      <c r="G567" s="1" t="s">
        <v>49</v>
      </c>
      <c r="H567" s="2">
        <v>45890</v>
      </c>
      <c r="I567" s="1">
        <v>7</v>
      </c>
      <c r="J567" s="1" t="s">
        <v>34</v>
      </c>
      <c r="K567" s="1" t="str">
        <f>_xlfn.TEXTBEFORE(tbl_SaaS_Audit[[#This Row],[region]],"-")</f>
        <v>APAC</v>
      </c>
      <c r="L567" s="8" t="str">
        <f>_xlfn.TEXTAFTER(tbl_SaaS_Audit[[#This Row],[region]],"-")</f>
        <v>SGP</v>
      </c>
      <c r="M567" s="8">
        <f t="shared" si="8"/>
        <v>16</v>
      </c>
      <c r="N567" s="4">
        <f>tbl_SaaS_Audit[[#This Row],[Tenure_Months]]*tbl_SaaS_Audit[[#This Row],[Monthly_Revenue]]</f>
        <v>121079.52</v>
      </c>
      <c r="O567" s="3" t="str" cm="1">
        <f t="array" ref="O56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67" s="4" cm="1">
        <f t="array" ref="P567">_xlfn.IFS(tbl_SaaS_Audit[[#This Row],[Risk_Level]]="CRITICAL RISK",tbl_SaaS_Audit[[#This Row],[Monthly_Revenue]]*12,TRUE,0)</f>
        <v>0</v>
      </c>
    </row>
    <row r="568" spans="1:16">
      <c r="A568" s="1">
        <v>567</v>
      </c>
      <c r="B568" s="1" t="s">
        <v>249</v>
      </c>
      <c r="C568" s="1" t="s">
        <v>11</v>
      </c>
      <c r="D568" s="2">
        <v>45334</v>
      </c>
      <c r="E568" s="1" t="s">
        <v>39</v>
      </c>
      <c r="F568" s="4">
        <v>12752.49</v>
      </c>
      <c r="G568" s="1" t="s">
        <v>36</v>
      </c>
      <c r="H568" s="2">
        <v>46139</v>
      </c>
      <c r="I568" s="1">
        <v>16</v>
      </c>
      <c r="J568" s="1" t="s">
        <v>51</v>
      </c>
      <c r="K568" s="1" t="str">
        <f>_xlfn.TEXTBEFORE(tbl_SaaS_Audit[[#This Row],[region]],"-")</f>
        <v>NA</v>
      </c>
      <c r="L568" s="8" t="str">
        <f>_xlfn.TEXTAFTER(tbl_SaaS_Audit[[#This Row],[region]],"-")</f>
        <v>EAST</v>
      </c>
      <c r="M568" s="8">
        <f t="shared" si="8"/>
        <v>31</v>
      </c>
      <c r="N568" s="4">
        <f>tbl_SaaS_Audit[[#This Row],[Tenure_Months]]*tbl_SaaS_Audit[[#This Row],[Monthly_Revenue]]</f>
        <v>395327.19</v>
      </c>
      <c r="O568" s="3" t="str" cm="1">
        <f t="array" ref="O56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68" s="4" cm="1">
        <f t="array" ref="P568">_xlfn.IFS(tbl_SaaS_Audit[[#This Row],[Risk_Level]]="CRITICAL RISK",tbl_SaaS_Audit[[#This Row],[Monthly_Revenue]]*12,TRUE,0)</f>
        <v>0</v>
      </c>
    </row>
    <row r="569" spans="1:16">
      <c r="A569" s="1">
        <v>568</v>
      </c>
      <c r="B569" s="1" t="s">
        <v>326</v>
      </c>
      <c r="C569" s="1" t="s">
        <v>13</v>
      </c>
      <c r="D569" s="2">
        <v>45340</v>
      </c>
      <c r="E569" s="1" t="s">
        <v>32</v>
      </c>
      <c r="F569" s="4">
        <v>4047.55</v>
      </c>
      <c r="G569" s="1" t="s">
        <v>49</v>
      </c>
      <c r="H569" s="2">
        <v>46215</v>
      </c>
      <c r="I569" s="1">
        <v>14</v>
      </c>
      <c r="J569" s="1" t="s">
        <v>34</v>
      </c>
      <c r="K569" s="1" t="str">
        <f>_xlfn.TEXTBEFORE(tbl_SaaS_Audit[[#This Row],[region]],"-")</f>
        <v>APAC</v>
      </c>
      <c r="L569" s="8" t="str">
        <f>_xlfn.TEXTAFTER(tbl_SaaS_Audit[[#This Row],[region]],"-")</f>
        <v>SGP</v>
      </c>
      <c r="M569" s="8">
        <f t="shared" si="8"/>
        <v>31</v>
      </c>
      <c r="N569" s="4">
        <f>tbl_SaaS_Audit[[#This Row],[Tenure_Months]]*tbl_SaaS_Audit[[#This Row],[Monthly_Revenue]]</f>
        <v>125474.05</v>
      </c>
      <c r="O569" s="3" t="str" cm="1">
        <f t="array" ref="O56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69" s="4" cm="1">
        <f t="array" ref="P569">_xlfn.IFS(tbl_SaaS_Audit[[#This Row],[Risk_Level]]="CRITICAL RISK",tbl_SaaS_Audit[[#This Row],[Monthly_Revenue]]*12,TRUE,0)</f>
        <v>0</v>
      </c>
    </row>
    <row r="570" spans="1:16">
      <c r="A570" s="1">
        <v>569</v>
      </c>
      <c r="B570" s="1" t="s">
        <v>124</v>
      </c>
      <c r="C570" s="1" t="s">
        <v>15</v>
      </c>
      <c r="D570" s="2">
        <v>45697</v>
      </c>
      <c r="E570" s="1" t="s">
        <v>39</v>
      </c>
      <c r="F570" s="4">
        <v>8439.9599999999991</v>
      </c>
      <c r="G570" s="1" t="s">
        <v>49</v>
      </c>
      <c r="H570" s="1"/>
      <c r="I570" s="1">
        <v>17</v>
      </c>
      <c r="J570" s="1" t="s">
        <v>34</v>
      </c>
      <c r="K570" s="1" t="str">
        <f>_xlfn.TEXTBEFORE(tbl_SaaS_Audit[[#This Row],[region]],"-")</f>
        <v>APAC</v>
      </c>
      <c r="L570" s="8" t="str">
        <f>_xlfn.TEXTAFTER(tbl_SaaS_Audit[[#This Row],[region]],"-")</f>
        <v>SGP</v>
      </c>
      <c r="M570" s="8">
        <f t="shared" si="8"/>
        <v>19</v>
      </c>
      <c r="N570" s="4">
        <f>tbl_SaaS_Audit[[#This Row],[Tenure_Months]]*tbl_SaaS_Audit[[#This Row],[Monthly_Revenue]]</f>
        <v>160359.24</v>
      </c>
      <c r="O570" s="3" t="str" cm="1">
        <f t="array" ref="O57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70" s="4" cm="1">
        <f t="array" ref="P570">_xlfn.IFS(tbl_SaaS_Audit[[#This Row],[Risk_Level]]="CRITICAL RISK",tbl_SaaS_Audit[[#This Row],[Monthly_Revenue]]*12,TRUE,0)</f>
        <v>0</v>
      </c>
    </row>
    <row r="571" spans="1:16">
      <c r="A571" s="1">
        <v>570</v>
      </c>
      <c r="B571" s="1" t="s">
        <v>67</v>
      </c>
      <c r="C571" s="1" t="s">
        <v>11</v>
      </c>
      <c r="D571" s="2">
        <v>45426</v>
      </c>
      <c r="E571" s="1" t="s">
        <v>32</v>
      </c>
      <c r="F571" s="4">
        <v>8378.4</v>
      </c>
      <c r="G571" s="1" t="s">
        <v>42</v>
      </c>
      <c r="H571" s="2">
        <v>46104</v>
      </c>
      <c r="I571" s="1">
        <v>7</v>
      </c>
      <c r="J571" s="1" t="s">
        <v>34</v>
      </c>
      <c r="K571" s="1" t="str">
        <f>_xlfn.TEXTBEFORE(tbl_SaaS_Audit[[#This Row],[region]],"-")</f>
        <v>APAC</v>
      </c>
      <c r="L571" s="8" t="str">
        <f>_xlfn.TEXTAFTER(tbl_SaaS_Audit[[#This Row],[region]],"-")</f>
        <v>SGP</v>
      </c>
      <c r="M571" s="8">
        <f t="shared" si="8"/>
        <v>28</v>
      </c>
      <c r="N571" s="4">
        <f>tbl_SaaS_Audit[[#This Row],[Tenure_Months]]*tbl_SaaS_Audit[[#This Row],[Monthly_Revenue]]</f>
        <v>234595.19999999998</v>
      </c>
      <c r="O571" s="3" t="str" cm="1">
        <f t="array" ref="O57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71" s="4" cm="1">
        <f t="array" ref="P571">_xlfn.IFS(tbl_SaaS_Audit[[#This Row],[Risk_Level]]="CRITICAL RISK",tbl_SaaS_Audit[[#This Row],[Monthly_Revenue]]*12,TRUE,0)</f>
        <v>0</v>
      </c>
    </row>
    <row r="572" spans="1:16">
      <c r="A572" s="1">
        <v>571</v>
      </c>
      <c r="B572" s="1" t="s">
        <v>328</v>
      </c>
      <c r="C572" s="1" t="s">
        <v>13</v>
      </c>
      <c r="D572" s="2">
        <v>45523</v>
      </c>
      <c r="E572" s="1" t="s">
        <v>39</v>
      </c>
      <c r="F572" s="4">
        <v>1540.19</v>
      </c>
      <c r="G572" s="1" t="s">
        <v>42</v>
      </c>
      <c r="H572" s="2">
        <v>46026</v>
      </c>
      <c r="I572" s="1">
        <v>1</v>
      </c>
      <c r="J572" s="1" t="s">
        <v>47</v>
      </c>
      <c r="K572" s="1" t="str">
        <f>_xlfn.TEXTBEFORE(tbl_SaaS_Audit[[#This Row],[region]],"-")</f>
        <v>NA</v>
      </c>
      <c r="L572" s="8" t="str">
        <f>_xlfn.TEXTAFTER(tbl_SaaS_Audit[[#This Row],[region]],"-")</f>
        <v>WEST</v>
      </c>
      <c r="M572" s="8">
        <f t="shared" si="8"/>
        <v>25</v>
      </c>
      <c r="N572" s="4">
        <f>tbl_SaaS_Audit[[#This Row],[Tenure_Months]]*tbl_SaaS_Audit[[#This Row],[Monthly_Revenue]]</f>
        <v>38504.75</v>
      </c>
      <c r="O572" s="3" t="str" cm="1">
        <f t="array" ref="O57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72" s="4" cm="1">
        <f t="array" ref="P572">_xlfn.IFS(tbl_SaaS_Audit[[#This Row],[Risk_Level]]="CRITICAL RISK",tbl_SaaS_Audit[[#This Row],[Monthly_Revenue]]*12,TRUE,0)</f>
        <v>0</v>
      </c>
    </row>
    <row r="573" spans="1:16">
      <c r="A573" s="1">
        <v>572</v>
      </c>
      <c r="B573" s="1" t="s">
        <v>137</v>
      </c>
      <c r="C573" s="1" t="s">
        <v>14</v>
      </c>
      <c r="D573" s="2">
        <v>45410</v>
      </c>
      <c r="E573" s="1" t="s">
        <v>32</v>
      </c>
      <c r="F573" s="4">
        <v>8332.17</v>
      </c>
      <c r="G573" s="1" t="s">
        <v>36</v>
      </c>
      <c r="H573" s="2">
        <v>45935</v>
      </c>
      <c r="I573" s="1">
        <v>11</v>
      </c>
      <c r="J573" s="1" t="s">
        <v>47</v>
      </c>
      <c r="K573" s="1" t="str">
        <f>_xlfn.TEXTBEFORE(tbl_SaaS_Audit[[#This Row],[region]],"-")</f>
        <v>NA</v>
      </c>
      <c r="L573" s="8" t="str">
        <f>_xlfn.TEXTAFTER(tbl_SaaS_Audit[[#This Row],[region]],"-")</f>
        <v>WEST</v>
      </c>
      <c r="M573" s="8">
        <f t="shared" si="8"/>
        <v>29</v>
      </c>
      <c r="N573" s="4">
        <f>tbl_SaaS_Audit[[#This Row],[Tenure_Months]]*tbl_SaaS_Audit[[#This Row],[Monthly_Revenue]]</f>
        <v>241632.93</v>
      </c>
      <c r="O573" s="3" t="str" cm="1">
        <f t="array" ref="O57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73" s="4" cm="1">
        <f t="array" ref="P573">_xlfn.IFS(tbl_SaaS_Audit[[#This Row],[Risk_Level]]="CRITICAL RISK",tbl_SaaS_Audit[[#This Row],[Monthly_Revenue]]*12,TRUE,0)</f>
        <v>0</v>
      </c>
    </row>
    <row r="574" spans="1:16">
      <c r="A574" s="1">
        <v>573</v>
      </c>
      <c r="B574" s="1" t="s">
        <v>145</v>
      </c>
      <c r="C574" s="1" t="s">
        <v>11</v>
      </c>
      <c r="D574" s="2">
        <v>45813</v>
      </c>
      <c r="E574" s="1" t="s">
        <v>39</v>
      </c>
      <c r="F574" s="4">
        <v>785.61</v>
      </c>
      <c r="G574" s="1" t="s">
        <v>33</v>
      </c>
      <c r="H574" s="1"/>
      <c r="I574" s="1">
        <v>1</v>
      </c>
      <c r="J574" s="1" t="s">
        <v>47</v>
      </c>
      <c r="K574" s="1" t="str">
        <f>_xlfn.TEXTBEFORE(tbl_SaaS_Audit[[#This Row],[region]],"-")</f>
        <v>NA</v>
      </c>
      <c r="L574" s="8" t="str">
        <f>_xlfn.TEXTAFTER(tbl_SaaS_Audit[[#This Row],[region]],"-")</f>
        <v>WEST</v>
      </c>
      <c r="M574" s="8">
        <f t="shared" si="8"/>
        <v>15</v>
      </c>
      <c r="N574" s="4">
        <f>tbl_SaaS_Audit[[#This Row],[Tenure_Months]]*tbl_SaaS_Audit[[#This Row],[Monthly_Revenue]]</f>
        <v>11784.15</v>
      </c>
      <c r="O574" s="3" t="str" cm="1">
        <f t="array" ref="O57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74" s="4" cm="1">
        <f t="array" ref="P574">_xlfn.IFS(tbl_SaaS_Audit[[#This Row],[Risk_Level]]="CRITICAL RISK",tbl_SaaS_Audit[[#This Row],[Monthly_Revenue]]*12,TRUE,0)</f>
        <v>0</v>
      </c>
    </row>
    <row r="575" spans="1:16">
      <c r="A575" s="1">
        <v>574</v>
      </c>
      <c r="B575" s="1" t="s">
        <v>329</v>
      </c>
      <c r="C575" s="1" t="s">
        <v>11</v>
      </c>
      <c r="D575" s="2">
        <v>45351</v>
      </c>
      <c r="E575" s="1" t="s">
        <v>39</v>
      </c>
      <c r="F575" s="4">
        <v>4968.87</v>
      </c>
      <c r="G575" s="1" t="s">
        <v>49</v>
      </c>
      <c r="H575" s="2">
        <v>45981</v>
      </c>
      <c r="I575" s="1">
        <v>17</v>
      </c>
      <c r="J575" s="1" t="s">
        <v>37</v>
      </c>
      <c r="K575" s="1" t="str">
        <f>_xlfn.TEXTBEFORE(tbl_SaaS_Audit[[#This Row],[region]],"-")</f>
        <v>MEA</v>
      </c>
      <c r="L575" s="8" t="str">
        <f>_xlfn.TEXTAFTER(tbl_SaaS_Audit[[#This Row],[region]],"-")</f>
        <v>EGY</v>
      </c>
      <c r="M575" s="8">
        <f t="shared" si="8"/>
        <v>31</v>
      </c>
      <c r="N575" s="4">
        <f>tbl_SaaS_Audit[[#This Row],[Tenure_Months]]*tbl_SaaS_Audit[[#This Row],[Monthly_Revenue]]</f>
        <v>154034.97</v>
      </c>
      <c r="O575" s="3" t="str" cm="1">
        <f t="array" ref="O57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75" s="4" cm="1">
        <f t="array" ref="P575">_xlfn.IFS(tbl_SaaS_Audit[[#This Row],[Risk_Level]]="CRITICAL RISK",tbl_SaaS_Audit[[#This Row],[Monthly_Revenue]]*12,TRUE,0)</f>
        <v>0</v>
      </c>
    </row>
    <row r="576" spans="1:16">
      <c r="A576" s="1">
        <v>575</v>
      </c>
      <c r="B576" s="1" t="s">
        <v>82</v>
      </c>
      <c r="C576" s="1" t="s">
        <v>11</v>
      </c>
      <c r="D576" s="2">
        <v>45389</v>
      </c>
      <c r="E576" s="1" t="s">
        <v>32</v>
      </c>
      <c r="F576" s="4">
        <v>6848.03</v>
      </c>
      <c r="G576" s="1" t="s">
        <v>36</v>
      </c>
      <c r="H576" s="1"/>
      <c r="I576" s="1">
        <v>6</v>
      </c>
      <c r="J576" s="1" t="s">
        <v>47</v>
      </c>
      <c r="K576" s="1" t="str">
        <f>_xlfn.TEXTBEFORE(tbl_SaaS_Audit[[#This Row],[region]],"-")</f>
        <v>NA</v>
      </c>
      <c r="L576" s="8" t="str">
        <f>_xlfn.TEXTAFTER(tbl_SaaS_Audit[[#This Row],[region]],"-")</f>
        <v>WEST</v>
      </c>
      <c r="M576" s="8">
        <f t="shared" si="8"/>
        <v>29</v>
      </c>
      <c r="N576" s="4">
        <f>tbl_SaaS_Audit[[#This Row],[Tenure_Months]]*tbl_SaaS_Audit[[#This Row],[Monthly_Revenue]]</f>
        <v>198592.87</v>
      </c>
      <c r="O576" s="3" t="str" cm="1">
        <f t="array" ref="O57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76" s="4" cm="1">
        <f t="array" ref="P576">_xlfn.IFS(tbl_SaaS_Audit[[#This Row],[Risk_Level]]="CRITICAL RISK",tbl_SaaS_Audit[[#This Row],[Monthly_Revenue]]*12,TRUE,0)</f>
        <v>0</v>
      </c>
    </row>
    <row r="577" spans="1:16">
      <c r="A577" s="1">
        <v>576</v>
      </c>
      <c r="B577" s="1" t="s">
        <v>46</v>
      </c>
      <c r="C577" s="1" t="s">
        <v>11</v>
      </c>
      <c r="D577" s="2">
        <v>45484</v>
      </c>
      <c r="E577" s="1" t="s">
        <v>32</v>
      </c>
      <c r="F577" s="4">
        <v>5912.22</v>
      </c>
      <c r="G577" s="1" t="s">
        <v>42</v>
      </c>
      <c r="H577" s="2">
        <v>45961</v>
      </c>
      <c r="I577" s="1">
        <v>6</v>
      </c>
      <c r="J577" s="1" t="s">
        <v>34</v>
      </c>
      <c r="K577" s="1" t="str">
        <f>_xlfn.TEXTBEFORE(tbl_SaaS_Audit[[#This Row],[region]],"-")</f>
        <v>APAC</v>
      </c>
      <c r="L577" s="8" t="str">
        <f>_xlfn.TEXTAFTER(tbl_SaaS_Audit[[#This Row],[region]],"-")</f>
        <v>SGP</v>
      </c>
      <c r="M577" s="8">
        <f t="shared" si="8"/>
        <v>26</v>
      </c>
      <c r="N577" s="4">
        <f>tbl_SaaS_Audit[[#This Row],[Tenure_Months]]*tbl_SaaS_Audit[[#This Row],[Monthly_Revenue]]</f>
        <v>153717.72</v>
      </c>
      <c r="O577" s="3" t="str" cm="1">
        <f t="array" ref="O57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77" s="4" cm="1">
        <f t="array" ref="P577">_xlfn.IFS(tbl_SaaS_Audit[[#This Row],[Risk_Level]]="CRITICAL RISK",tbl_SaaS_Audit[[#This Row],[Monthly_Revenue]]*12,TRUE,0)</f>
        <v>0</v>
      </c>
    </row>
    <row r="578" spans="1:16">
      <c r="A578" s="1">
        <v>577</v>
      </c>
      <c r="B578" s="1" t="s">
        <v>86</v>
      </c>
      <c r="C578" s="1" t="s">
        <v>13</v>
      </c>
      <c r="D578" s="2">
        <v>45508</v>
      </c>
      <c r="E578" s="1" t="s">
        <v>32</v>
      </c>
      <c r="F578" s="4">
        <v>11913.87</v>
      </c>
      <c r="G578" s="1" t="s">
        <v>33</v>
      </c>
      <c r="H578" s="2">
        <v>46180</v>
      </c>
      <c r="I578" s="1">
        <v>0</v>
      </c>
      <c r="J578" s="1" t="s">
        <v>51</v>
      </c>
      <c r="K578" s="1" t="str">
        <f>_xlfn.TEXTBEFORE(tbl_SaaS_Audit[[#This Row],[region]],"-")</f>
        <v>NA</v>
      </c>
      <c r="L578" s="8" t="str">
        <f>_xlfn.TEXTAFTER(tbl_SaaS_Audit[[#This Row],[region]],"-")</f>
        <v>EAST</v>
      </c>
      <c r="M578" s="8">
        <f t="shared" ref="M578:M601" si="9">MAX(0, IF(AND(G578="Churned", ISNUMBER(H578)), (YEAR(H578)-YEAR(D578))*12 + (MONTH(H578)-MONTH(D578)), (YEAR(DATE(2026,9,1))-YEAR(D578))*12 + (MONTH(DATE(2026,9,1))-MONTH(D578))))</f>
        <v>22</v>
      </c>
      <c r="N578" s="4">
        <f>tbl_SaaS_Audit[[#This Row],[Tenure_Months]]*tbl_SaaS_Audit[[#This Row],[Monthly_Revenue]]</f>
        <v>262105.14</v>
      </c>
      <c r="O578" s="3" t="str" cm="1">
        <f t="array" ref="O57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78" s="4" cm="1">
        <f t="array" ref="P578">_xlfn.IFS(tbl_SaaS_Audit[[#This Row],[Risk_Level]]="CRITICAL RISK",tbl_SaaS_Audit[[#This Row],[Monthly_Revenue]]*12,TRUE,0)</f>
        <v>0</v>
      </c>
    </row>
    <row r="579" spans="1:16">
      <c r="A579" s="1">
        <v>578</v>
      </c>
      <c r="B579" s="1" t="s">
        <v>330</v>
      </c>
      <c r="C579" s="1" t="s">
        <v>12</v>
      </c>
      <c r="D579" s="2">
        <v>45489</v>
      </c>
      <c r="E579" s="1" t="s">
        <v>32</v>
      </c>
      <c r="F579" s="4">
        <v>5976.1</v>
      </c>
      <c r="G579" s="1" t="s">
        <v>49</v>
      </c>
      <c r="H579" s="2">
        <v>45973</v>
      </c>
      <c r="I579" s="1">
        <v>16</v>
      </c>
      <c r="J579" s="1" t="s">
        <v>34</v>
      </c>
      <c r="K579" s="1" t="str">
        <f>_xlfn.TEXTBEFORE(tbl_SaaS_Audit[[#This Row],[region]],"-")</f>
        <v>APAC</v>
      </c>
      <c r="L579" s="8" t="str">
        <f>_xlfn.TEXTAFTER(tbl_SaaS_Audit[[#This Row],[region]],"-")</f>
        <v>SGP</v>
      </c>
      <c r="M579" s="8">
        <f t="shared" si="9"/>
        <v>26</v>
      </c>
      <c r="N579" s="4">
        <f>tbl_SaaS_Audit[[#This Row],[Tenure_Months]]*tbl_SaaS_Audit[[#This Row],[Monthly_Revenue]]</f>
        <v>155378.6</v>
      </c>
      <c r="O579" s="3" t="str" cm="1">
        <f t="array" ref="O57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79" s="4" cm="1">
        <f t="array" ref="P579">_xlfn.IFS(tbl_SaaS_Audit[[#This Row],[Risk_Level]]="CRITICAL RISK",tbl_SaaS_Audit[[#This Row],[Monthly_Revenue]]*12,TRUE,0)</f>
        <v>0</v>
      </c>
    </row>
    <row r="580" spans="1:16">
      <c r="A580" s="1">
        <v>579</v>
      </c>
      <c r="B580" s="1" t="s">
        <v>85</v>
      </c>
      <c r="C580" s="1" t="s">
        <v>12</v>
      </c>
      <c r="D580" s="2">
        <v>45571</v>
      </c>
      <c r="E580" s="1" t="s">
        <v>41</v>
      </c>
      <c r="F580" s="4">
        <v>2982.63</v>
      </c>
      <c r="G580" s="1" t="s">
        <v>36</v>
      </c>
      <c r="H580" s="1"/>
      <c r="I580" s="1">
        <v>5</v>
      </c>
      <c r="J580" s="1" t="s">
        <v>37</v>
      </c>
      <c r="K580" s="1" t="str">
        <f>_xlfn.TEXTBEFORE(tbl_SaaS_Audit[[#This Row],[region]],"-")</f>
        <v>MEA</v>
      </c>
      <c r="L580" s="8" t="str">
        <f>_xlfn.TEXTAFTER(tbl_SaaS_Audit[[#This Row],[region]],"-")</f>
        <v>EGY</v>
      </c>
      <c r="M580" s="8">
        <f t="shared" si="9"/>
        <v>23</v>
      </c>
      <c r="N580" s="4">
        <f>tbl_SaaS_Audit[[#This Row],[Tenure_Months]]*tbl_SaaS_Audit[[#This Row],[Monthly_Revenue]]</f>
        <v>68600.490000000005</v>
      </c>
      <c r="O580" s="3" t="str" cm="1">
        <f t="array" ref="O58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80" s="4" cm="1">
        <f t="array" ref="P580">_xlfn.IFS(tbl_SaaS_Audit[[#This Row],[Risk_Level]]="CRITICAL RISK",tbl_SaaS_Audit[[#This Row],[Monthly_Revenue]]*12,TRUE,0)</f>
        <v>0</v>
      </c>
    </row>
    <row r="581" spans="1:16">
      <c r="A581" s="1">
        <v>580</v>
      </c>
      <c r="B581" s="1" t="s">
        <v>138</v>
      </c>
      <c r="C581" s="1" t="s">
        <v>11</v>
      </c>
      <c r="D581" s="2">
        <v>45498</v>
      </c>
      <c r="E581" s="1" t="s">
        <v>41</v>
      </c>
      <c r="F581" s="4">
        <v>3428.94</v>
      </c>
      <c r="G581" s="1" t="s">
        <v>36</v>
      </c>
      <c r="H581" s="2">
        <v>46093</v>
      </c>
      <c r="I581" s="1">
        <v>14</v>
      </c>
      <c r="J581" s="1" t="s">
        <v>45</v>
      </c>
      <c r="K581" s="1" t="str">
        <f>_xlfn.TEXTBEFORE(tbl_SaaS_Audit[[#This Row],[region]],"-")</f>
        <v>EU</v>
      </c>
      <c r="L581" s="8" t="str">
        <f>_xlfn.TEXTAFTER(tbl_SaaS_Audit[[#This Row],[region]],"-")</f>
        <v>CENTRAL</v>
      </c>
      <c r="M581" s="8">
        <f t="shared" si="9"/>
        <v>26</v>
      </c>
      <c r="N581" s="4">
        <f>tbl_SaaS_Audit[[#This Row],[Tenure_Months]]*tbl_SaaS_Audit[[#This Row],[Monthly_Revenue]]</f>
        <v>89152.44</v>
      </c>
      <c r="O581" s="3" t="str" cm="1">
        <f t="array" ref="O58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81" s="4" cm="1">
        <f t="array" ref="P581">_xlfn.IFS(tbl_SaaS_Audit[[#This Row],[Risk_Level]]="CRITICAL RISK",tbl_SaaS_Audit[[#This Row],[Monthly_Revenue]]*12,TRUE,0)</f>
        <v>0</v>
      </c>
    </row>
    <row r="582" spans="1:16">
      <c r="A582" s="1">
        <v>581</v>
      </c>
      <c r="B582" s="1" t="s">
        <v>63</v>
      </c>
      <c r="C582" s="1" t="s">
        <v>14</v>
      </c>
      <c r="D582" s="2">
        <v>45550</v>
      </c>
      <c r="E582" s="1" t="s">
        <v>41</v>
      </c>
      <c r="F582" s="4">
        <v>618.04</v>
      </c>
      <c r="G582" s="1" t="s">
        <v>36</v>
      </c>
      <c r="H582" s="2">
        <v>46258</v>
      </c>
      <c r="I582" s="1">
        <v>10</v>
      </c>
      <c r="J582" s="1" t="s">
        <v>37</v>
      </c>
      <c r="K582" s="1" t="str">
        <f>_xlfn.TEXTBEFORE(tbl_SaaS_Audit[[#This Row],[region]],"-")</f>
        <v>MEA</v>
      </c>
      <c r="L582" s="8" t="str">
        <f>_xlfn.TEXTAFTER(tbl_SaaS_Audit[[#This Row],[region]],"-")</f>
        <v>EGY</v>
      </c>
      <c r="M582" s="8">
        <f t="shared" si="9"/>
        <v>24</v>
      </c>
      <c r="N582" s="4">
        <f>tbl_SaaS_Audit[[#This Row],[Tenure_Months]]*tbl_SaaS_Audit[[#This Row],[Monthly_Revenue]]</f>
        <v>14832.96</v>
      </c>
      <c r="O582" s="3" t="str" cm="1">
        <f t="array" ref="O58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82" s="4" cm="1">
        <f t="array" ref="P582">_xlfn.IFS(tbl_SaaS_Audit[[#This Row],[Risk_Level]]="CRITICAL RISK",tbl_SaaS_Audit[[#This Row],[Monthly_Revenue]]*12,TRUE,0)</f>
        <v>0</v>
      </c>
    </row>
    <row r="583" spans="1:16">
      <c r="A583" s="1">
        <v>582</v>
      </c>
      <c r="B583" s="1" t="s">
        <v>245</v>
      </c>
      <c r="C583" s="1" t="s">
        <v>14</v>
      </c>
      <c r="D583" s="2">
        <v>45474</v>
      </c>
      <c r="E583" s="1" t="s">
        <v>32</v>
      </c>
      <c r="F583" s="4">
        <v>7717.71</v>
      </c>
      <c r="G583" s="1" t="s">
        <v>42</v>
      </c>
      <c r="H583" s="2">
        <v>46209</v>
      </c>
      <c r="I583" s="1">
        <v>7</v>
      </c>
      <c r="J583" s="1" t="s">
        <v>51</v>
      </c>
      <c r="K583" s="1" t="str">
        <f>_xlfn.TEXTBEFORE(tbl_SaaS_Audit[[#This Row],[region]],"-")</f>
        <v>NA</v>
      </c>
      <c r="L583" s="8" t="str">
        <f>_xlfn.TEXTAFTER(tbl_SaaS_Audit[[#This Row],[region]],"-")</f>
        <v>EAST</v>
      </c>
      <c r="M583" s="8">
        <f t="shared" si="9"/>
        <v>26</v>
      </c>
      <c r="N583" s="4">
        <f>tbl_SaaS_Audit[[#This Row],[Tenure_Months]]*tbl_SaaS_Audit[[#This Row],[Monthly_Revenue]]</f>
        <v>200660.46</v>
      </c>
      <c r="O583" s="3" t="str" cm="1">
        <f t="array" ref="O58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83" s="4" cm="1">
        <f t="array" ref="P583">_xlfn.IFS(tbl_SaaS_Audit[[#This Row],[Risk_Level]]="CRITICAL RISK",tbl_SaaS_Audit[[#This Row],[Monthly_Revenue]]*12,TRUE,0)</f>
        <v>0</v>
      </c>
    </row>
    <row r="584" spans="1:16">
      <c r="A584" s="1">
        <v>583</v>
      </c>
      <c r="B584" s="1" t="s">
        <v>131</v>
      </c>
      <c r="C584" s="1" t="s">
        <v>15</v>
      </c>
      <c r="D584" s="2">
        <v>45372</v>
      </c>
      <c r="E584" s="1" t="s">
        <v>39</v>
      </c>
      <c r="F584" s="4">
        <v>2781.13</v>
      </c>
      <c r="G584" s="1" t="s">
        <v>42</v>
      </c>
      <c r="H584" s="1"/>
      <c r="I584" s="1">
        <v>18</v>
      </c>
      <c r="J584" s="1" t="s">
        <v>34</v>
      </c>
      <c r="K584" s="1" t="str">
        <f>_xlfn.TEXTBEFORE(tbl_SaaS_Audit[[#This Row],[region]],"-")</f>
        <v>APAC</v>
      </c>
      <c r="L584" s="8" t="str">
        <f>_xlfn.TEXTAFTER(tbl_SaaS_Audit[[#This Row],[region]],"-")</f>
        <v>SGP</v>
      </c>
      <c r="M584" s="8">
        <f t="shared" si="9"/>
        <v>30</v>
      </c>
      <c r="N584" s="4">
        <f>tbl_SaaS_Audit[[#This Row],[Tenure_Months]]*tbl_SaaS_Audit[[#This Row],[Monthly_Revenue]]</f>
        <v>83433.900000000009</v>
      </c>
      <c r="O584" s="3" t="str" cm="1">
        <f t="array" ref="O58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84" s="4" cm="1">
        <f t="array" ref="P584">_xlfn.IFS(tbl_SaaS_Audit[[#This Row],[Risk_Level]]="CRITICAL RISK",tbl_SaaS_Audit[[#This Row],[Monthly_Revenue]]*12,TRUE,0)</f>
        <v>33373.56</v>
      </c>
    </row>
    <row r="585" spans="1:16">
      <c r="A585" s="1">
        <v>584</v>
      </c>
      <c r="B585" s="1" t="s">
        <v>277</v>
      </c>
      <c r="C585" s="1" t="s">
        <v>14</v>
      </c>
      <c r="D585" s="2">
        <v>45363</v>
      </c>
      <c r="E585" s="1" t="s">
        <v>39</v>
      </c>
      <c r="F585" s="4">
        <v>12754.48</v>
      </c>
      <c r="G585" s="1" t="s">
        <v>42</v>
      </c>
      <c r="H585" s="2">
        <v>45962</v>
      </c>
      <c r="I585" s="1">
        <v>15</v>
      </c>
      <c r="J585" s="1" t="s">
        <v>34</v>
      </c>
      <c r="K585" s="1" t="str">
        <f>_xlfn.TEXTBEFORE(tbl_SaaS_Audit[[#This Row],[region]],"-")</f>
        <v>APAC</v>
      </c>
      <c r="L585" s="8" t="str">
        <f>_xlfn.TEXTAFTER(tbl_SaaS_Audit[[#This Row],[region]],"-")</f>
        <v>SGP</v>
      </c>
      <c r="M585" s="8">
        <f t="shared" si="9"/>
        <v>30</v>
      </c>
      <c r="N585" s="4">
        <f>tbl_SaaS_Audit[[#This Row],[Tenure_Months]]*tbl_SaaS_Audit[[#This Row],[Monthly_Revenue]]</f>
        <v>382634.39999999997</v>
      </c>
      <c r="O585" s="3" t="str" cm="1">
        <f t="array" ref="O58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85" s="4" cm="1">
        <f t="array" ref="P585">_xlfn.IFS(tbl_SaaS_Audit[[#This Row],[Risk_Level]]="CRITICAL RISK",tbl_SaaS_Audit[[#This Row],[Monthly_Revenue]]*12,TRUE,0)</f>
        <v>153053.76000000001</v>
      </c>
    </row>
    <row r="586" spans="1:16">
      <c r="A586" s="1">
        <v>585</v>
      </c>
      <c r="B586" s="1" t="s">
        <v>127</v>
      </c>
      <c r="C586" s="1" t="s">
        <v>11</v>
      </c>
      <c r="D586" s="2">
        <v>45623</v>
      </c>
      <c r="E586" s="1" t="s">
        <v>39</v>
      </c>
      <c r="F586" s="4">
        <v>10453.91</v>
      </c>
      <c r="G586" s="1" t="s">
        <v>49</v>
      </c>
      <c r="H586" s="2">
        <v>46168</v>
      </c>
      <c r="I586" s="1">
        <v>17</v>
      </c>
      <c r="J586" s="1" t="s">
        <v>37</v>
      </c>
      <c r="K586" s="1" t="str">
        <f>_xlfn.TEXTBEFORE(tbl_SaaS_Audit[[#This Row],[region]],"-")</f>
        <v>MEA</v>
      </c>
      <c r="L586" s="8" t="str">
        <f>_xlfn.TEXTAFTER(tbl_SaaS_Audit[[#This Row],[region]],"-")</f>
        <v>EGY</v>
      </c>
      <c r="M586" s="8">
        <f t="shared" si="9"/>
        <v>22</v>
      </c>
      <c r="N586" s="4">
        <f>tbl_SaaS_Audit[[#This Row],[Tenure_Months]]*tbl_SaaS_Audit[[#This Row],[Monthly_Revenue]]</f>
        <v>229986.02</v>
      </c>
      <c r="O586" s="3" t="str" cm="1">
        <f t="array" ref="O58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86" s="4" cm="1">
        <f t="array" ref="P586">_xlfn.IFS(tbl_SaaS_Audit[[#This Row],[Risk_Level]]="CRITICAL RISK",tbl_SaaS_Audit[[#This Row],[Monthly_Revenue]]*12,TRUE,0)</f>
        <v>0</v>
      </c>
    </row>
    <row r="587" spans="1:16">
      <c r="A587" s="1">
        <v>586</v>
      </c>
      <c r="B587" s="1" t="s">
        <v>55</v>
      </c>
      <c r="C587" s="1" t="s">
        <v>13</v>
      </c>
      <c r="D587" s="2">
        <v>45367</v>
      </c>
      <c r="E587" s="1" t="s">
        <v>32</v>
      </c>
      <c r="F587" s="4">
        <v>9293.0400000000009</v>
      </c>
      <c r="G587" s="1" t="s">
        <v>33</v>
      </c>
      <c r="H587" s="2">
        <v>46183</v>
      </c>
      <c r="I587" s="1">
        <v>14</v>
      </c>
      <c r="J587" s="1" t="s">
        <v>47</v>
      </c>
      <c r="K587" s="1" t="str">
        <f>_xlfn.TEXTBEFORE(tbl_SaaS_Audit[[#This Row],[region]],"-")</f>
        <v>NA</v>
      </c>
      <c r="L587" s="8" t="str">
        <f>_xlfn.TEXTAFTER(tbl_SaaS_Audit[[#This Row],[region]],"-")</f>
        <v>WEST</v>
      </c>
      <c r="M587" s="8">
        <f t="shared" si="9"/>
        <v>27</v>
      </c>
      <c r="N587" s="4">
        <f>tbl_SaaS_Audit[[#This Row],[Tenure_Months]]*tbl_SaaS_Audit[[#This Row],[Monthly_Revenue]]</f>
        <v>250912.08000000002</v>
      </c>
      <c r="O587" s="3" t="str" cm="1">
        <f t="array" ref="O58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87" s="4" cm="1">
        <f t="array" ref="P587">_xlfn.IFS(tbl_SaaS_Audit[[#This Row],[Risk_Level]]="CRITICAL RISK",tbl_SaaS_Audit[[#This Row],[Monthly_Revenue]]*12,TRUE,0)</f>
        <v>0</v>
      </c>
    </row>
    <row r="588" spans="1:16">
      <c r="A588" s="1">
        <v>587</v>
      </c>
      <c r="B588" s="1" t="s">
        <v>151</v>
      </c>
      <c r="C588" s="1" t="s">
        <v>11</v>
      </c>
      <c r="D588" s="2">
        <v>45510</v>
      </c>
      <c r="E588" s="1" t="s">
        <v>39</v>
      </c>
      <c r="F588" s="4">
        <v>1029.8399999999999</v>
      </c>
      <c r="G588" s="1" t="s">
        <v>49</v>
      </c>
      <c r="H588" s="1"/>
      <c r="I588" s="1">
        <v>5</v>
      </c>
      <c r="J588" s="1" t="s">
        <v>37</v>
      </c>
      <c r="K588" s="1" t="str">
        <f>_xlfn.TEXTBEFORE(tbl_SaaS_Audit[[#This Row],[region]],"-")</f>
        <v>MEA</v>
      </c>
      <c r="L588" s="8" t="str">
        <f>_xlfn.TEXTAFTER(tbl_SaaS_Audit[[#This Row],[region]],"-")</f>
        <v>EGY</v>
      </c>
      <c r="M588" s="8">
        <f t="shared" si="9"/>
        <v>25</v>
      </c>
      <c r="N588" s="4">
        <f>tbl_SaaS_Audit[[#This Row],[Tenure_Months]]*tbl_SaaS_Audit[[#This Row],[Monthly_Revenue]]</f>
        <v>25745.999999999996</v>
      </c>
      <c r="O588" s="3" t="str" cm="1">
        <f t="array" ref="O58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88" s="4" cm="1">
        <f t="array" ref="P588">_xlfn.IFS(tbl_SaaS_Audit[[#This Row],[Risk_Level]]="CRITICAL RISK",tbl_SaaS_Audit[[#This Row],[Monthly_Revenue]]*12,TRUE,0)</f>
        <v>0</v>
      </c>
    </row>
    <row r="589" spans="1:16">
      <c r="A589" s="1">
        <v>588</v>
      </c>
      <c r="B589" s="1" t="s">
        <v>331</v>
      </c>
      <c r="C589" s="1" t="s">
        <v>11</v>
      </c>
      <c r="D589" s="2">
        <v>45595</v>
      </c>
      <c r="E589" s="1" t="s">
        <v>39</v>
      </c>
      <c r="F589" s="4">
        <v>1280.19</v>
      </c>
      <c r="G589" s="1" t="s">
        <v>36</v>
      </c>
      <c r="H589" s="2">
        <v>45887</v>
      </c>
      <c r="I589" s="1">
        <v>14</v>
      </c>
      <c r="J589" s="1" t="s">
        <v>47</v>
      </c>
      <c r="K589" s="1" t="str">
        <f>_xlfn.TEXTBEFORE(tbl_SaaS_Audit[[#This Row],[region]],"-")</f>
        <v>NA</v>
      </c>
      <c r="L589" s="8" t="str">
        <f>_xlfn.TEXTAFTER(tbl_SaaS_Audit[[#This Row],[region]],"-")</f>
        <v>WEST</v>
      </c>
      <c r="M589" s="8">
        <f t="shared" si="9"/>
        <v>23</v>
      </c>
      <c r="N589" s="4">
        <f>tbl_SaaS_Audit[[#This Row],[Tenure_Months]]*tbl_SaaS_Audit[[#This Row],[Monthly_Revenue]]</f>
        <v>29444.370000000003</v>
      </c>
      <c r="O589" s="3" t="str" cm="1">
        <f t="array" ref="O58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89" s="4" cm="1">
        <f t="array" ref="P589">_xlfn.IFS(tbl_SaaS_Audit[[#This Row],[Risk_Level]]="CRITICAL RISK",tbl_SaaS_Audit[[#This Row],[Monthly_Revenue]]*12,TRUE,0)</f>
        <v>0</v>
      </c>
    </row>
    <row r="590" spans="1:16">
      <c r="A590" s="1">
        <v>589</v>
      </c>
      <c r="B590" s="1" t="s">
        <v>332</v>
      </c>
      <c r="C590" s="1" t="s">
        <v>12</v>
      </c>
      <c r="D590" s="2">
        <v>45422</v>
      </c>
      <c r="E590" s="1" t="s">
        <v>32</v>
      </c>
      <c r="F590" s="4">
        <v>14953.6</v>
      </c>
      <c r="G590" s="1" t="s">
        <v>49</v>
      </c>
      <c r="H590" s="2">
        <v>45853</v>
      </c>
      <c r="I590" s="1">
        <v>12</v>
      </c>
      <c r="J590" s="1" t="s">
        <v>47</v>
      </c>
      <c r="K590" s="1" t="str">
        <f>_xlfn.TEXTBEFORE(tbl_SaaS_Audit[[#This Row],[region]],"-")</f>
        <v>NA</v>
      </c>
      <c r="L590" s="8" t="str">
        <f>_xlfn.TEXTAFTER(tbl_SaaS_Audit[[#This Row],[region]],"-")</f>
        <v>WEST</v>
      </c>
      <c r="M590" s="8">
        <f t="shared" si="9"/>
        <v>28</v>
      </c>
      <c r="N590" s="4">
        <f>tbl_SaaS_Audit[[#This Row],[Tenure_Months]]*tbl_SaaS_Audit[[#This Row],[Monthly_Revenue]]</f>
        <v>418700.79999999999</v>
      </c>
      <c r="O590" s="3" t="str" cm="1">
        <f t="array" ref="O59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90" s="4" cm="1">
        <f t="array" ref="P590">_xlfn.IFS(tbl_SaaS_Audit[[#This Row],[Risk_Level]]="CRITICAL RISK",tbl_SaaS_Audit[[#This Row],[Monthly_Revenue]]*12,TRUE,0)</f>
        <v>0</v>
      </c>
    </row>
    <row r="591" spans="1:16">
      <c r="A591" s="1">
        <v>590</v>
      </c>
      <c r="B591" s="1" t="s">
        <v>275</v>
      </c>
      <c r="C591" s="1" t="s">
        <v>14</v>
      </c>
      <c r="D591" s="2">
        <v>45618</v>
      </c>
      <c r="E591" s="1" t="s">
        <v>39</v>
      </c>
      <c r="F591" s="4">
        <v>9327.08</v>
      </c>
      <c r="G591" s="1" t="s">
        <v>33</v>
      </c>
      <c r="H591" s="2">
        <v>46220</v>
      </c>
      <c r="I591" s="1">
        <v>17</v>
      </c>
      <c r="J591" s="1" t="s">
        <v>34</v>
      </c>
      <c r="K591" s="1" t="str">
        <f>_xlfn.TEXTBEFORE(tbl_SaaS_Audit[[#This Row],[region]],"-")</f>
        <v>APAC</v>
      </c>
      <c r="L591" s="8" t="str">
        <f>_xlfn.TEXTAFTER(tbl_SaaS_Audit[[#This Row],[region]],"-")</f>
        <v>SGP</v>
      </c>
      <c r="M591" s="8">
        <f t="shared" si="9"/>
        <v>20</v>
      </c>
      <c r="N591" s="4">
        <f>tbl_SaaS_Audit[[#This Row],[Tenure_Months]]*tbl_SaaS_Audit[[#This Row],[Monthly_Revenue]]</f>
        <v>186541.6</v>
      </c>
      <c r="O591" s="3" t="str" cm="1">
        <f t="array" ref="O59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91" s="4" cm="1">
        <f t="array" ref="P591">_xlfn.IFS(tbl_SaaS_Audit[[#This Row],[Risk_Level]]="CRITICAL RISK",tbl_SaaS_Audit[[#This Row],[Monthly_Revenue]]*12,TRUE,0)</f>
        <v>0</v>
      </c>
    </row>
    <row r="592" spans="1:16">
      <c r="A592" s="1">
        <v>591</v>
      </c>
      <c r="B592" s="1" t="s">
        <v>96</v>
      </c>
      <c r="C592" s="1" t="s">
        <v>15</v>
      </c>
      <c r="D592" s="2">
        <v>45772</v>
      </c>
      <c r="E592" s="1" t="s">
        <v>41</v>
      </c>
      <c r="F592" s="4">
        <v>1316.02</v>
      </c>
      <c r="G592" s="1" t="s">
        <v>33</v>
      </c>
      <c r="H592" s="2">
        <v>46062</v>
      </c>
      <c r="I592" s="1">
        <v>16</v>
      </c>
      <c r="J592" s="1" t="s">
        <v>51</v>
      </c>
      <c r="K592" s="1" t="str">
        <f>_xlfn.TEXTBEFORE(tbl_SaaS_Audit[[#This Row],[region]],"-")</f>
        <v>NA</v>
      </c>
      <c r="L592" s="8" t="str">
        <f>_xlfn.TEXTAFTER(tbl_SaaS_Audit[[#This Row],[region]],"-")</f>
        <v>EAST</v>
      </c>
      <c r="M592" s="8">
        <f t="shared" si="9"/>
        <v>10</v>
      </c>
      <c r="N592" s="4">
        <f>tbl_SaaS_Audit[[#This Row],[Tenure_Months]]*tbl_SaaS_Audit[[#This Row],[Monthly_Revenue]]</f>
        <v>13160.2</v>
      </c>
      <c r="O592" s="3" t="str" cm="1">
        <f t="array" ref="O592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92" s="4" cm="1">
        <f t="array" ref="P592">_xlfn.IFS(tbl_SaaS_Audit[[#This Row],[Risk_Level]]="CRITICAL RISK",tbl_SaaS_Audit[[#This Row],[Monthly_Revenue]]*12,TRUE,0)</f>
        <v>0</v>
      </c>
    </row>
    <row r="593" spans="1:16">
      <c r="A593" s="1">
        <v>592</v>
      </c>
      <c r="B593" s="1" t="s">
        <v>333</v>
      </c>
      <c r="C593" s="1" t="s">
        <v>11</v>
      </c>
      <c r="D593" s="2">
        <v>45314</v>
      </c>
      <c r="E593" s="1" t="s">
        <v>39</v>
      </c>
      <c r="F593" s="4">
        <v>10514.08</v>
      </c>
      <c r="G593" s="1" t="s">
        <v>33</v>
      </c>
      <c r="H593" s="2">
        <v>46243</v>
      </c>
      <c r="I593" s="1">
        <v>2</v>
      </c>
      <c r="J593" s="1" t="s">
        <v>34</v>
      </c>
      <c r="K593" s="1" t="str">
        <f>_xlfn.TEXTBEFORE(tbl_SaaS_Audit[[#This Row],[region]],"-")</f>
        <v>APAC</v>
      </c>
      <c r="L593" s="8" t="str">
        <f>_xlfn.TEXTAFTER(tbl_SaaS_Audit[[#This Row],[region]],"-")</f>
        <v>SGP</v>
      </c>
      <c r="M593" s="8">
        <f t="shared" si="9"/>
        <v>31</v>
      </c>
      <c r="N593" s="4">
        <f>tbl_SaaS_Audit[[#This Row],[Tenure_Months]]*tbl_SaaS_Audit[[#This Row],[Monthly_Revenue]]</f>
        <v>325936.48</v>
      </c>
      <c r="O593" s="3" t="str" cm="1">
        <f t="array" ref="O593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93" s="4" cm="1">
        <f t="array" ref="P593">_xlfn.IFS(tbl_SaaS_Audit[[#This Row],[Risk_Level]]="CRITICAL RISK",tbl_SaaS_Audit[[#This Row],[Monthly_Revenue]]*12,TRUE,0)</f>
        <v>0</v>
      </c>
    </row>
    <row r="594" spans="1:16">
      <c r="A594" s="1">
        <v>593</v>
      </c>
      <c r="B594" s="1" t="s">
        <v>334</v>
      </c>
      <c r="C594" s="1" t="s">
        <v>14</v>
      </c>
      <c r="D594" s="2">
        <v>45467</v>
      </c>
      <c r="E594" s="1" t="s">
        <v>39</v>
      </c>
      <c r="F594" s="4">
        <v>886.19</v>
      </c>
      <c r="G594" s="1" t="s">
        <v>42</v>
      </c>
      <c r="H594" s="2">
        <v>46090</v>
      </c>
      <c r="I594" s="1">
        <v>12</v>
      </c>
      <c r="J594" s="1" t="s">
        <v>51</v>
      </c>
      <c r="K594" s="1" t="str">
        <f>_xlfn.TEXTBEFORE(tbl_SaaS_Audit[[#This Row],[region]],"-")</f>
        <v>NA</v>
      </c>
      <c r="L594" s="8" t="str">
        <f>_xlfn.TEXTAFTER(tbl_SaaS_Audit[[#This Row],[region]],"-")</f>
        <v>EAST</v>
      </c>
      <c r="M594" s="8">
        <f t="shared" si="9"/>
        <v>27</v>
      </c>
      <c r="N594" s="4">
        <f>tbl_SaaS_Audit[[#This Row],[Tenure_Months]]*tbl_SaaS_Audit[[#This Row],[Monthly_Revenue]]</f>
        <v>23927.13</v>
      </c>
      <c r="O594" s="3" t="str" cm="1">
        <f t="array" ref="O594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94" s="4" cm="1">
        <f t="array" ref="P594">_xlfn.IFS(tbl_SaaS_Audit[[#This Row],[Risk_Level]]="CRITICAL RISK",tbl_SaaS_Audit[[#This Row],[Monthly_Revenue]]*12,TRUE,0)</f>
        <v>10634.28</v>
      </c>
    </row>
    <row r="595" spans="1:16">
      <c r="A595" s="1">
        <v>594</v>
      </c>
      <c r="B595" s="1" t="s">
        <v>335</v>
      </c>
      <c r="C595" s="1" t="s">
        <v>14</v>
      </c>
      <c r="D595" s="2">
        <v>45374</v>
      </c>
      <c r="E595" s="1" t="s">
        <v>32</v>
      </c>
      <c r="F595" s="4">
        <v>8925.41</v>
      </c>
      <c r="G595" s="1" t="s">
        <v>36</v>
      </c>
      <c r="H595" s="2">
        <v>46076</v>
      </c>
      <c r="I595" s="1">
        <v>0</v>
      </c>
      <c r="J595" s="1" t="s">
        <v>34</v>
      </c>
      <c r="K595" s="1" t="str">
        <f>_xlfn.TEXTBEFORE(tbl_SaaS_Audit[[#This Row],[region]],"-")</f>
        <v>APAC</v>
      </c>
      <c r="L595" s="8" t="str">
        <f>_xlfn.TEXTAFTER(tbl_SaaS_Audit[[#This Row],[region]],"-")</f>
        <v>SGP</v>
      </c>
      <c r="M595" s="8">
        <f t="shared" si="9"/>
        <v>30</v>
      </c>
      <c r="N595" s="4">
        <f>tbl_SaaS_Audit[[#This Row],[Tenure_Months]]*tbl_SaaS_Audit[[#This Row],[Monthly_Revenue]]</f>
        <v>267762.3</v>
      </c>
      <c r="O595" s="3" t="str" cm="1">
        <f t="array" ref="O595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95" s="4" cm="1">
        <f t="array" ref="P595">_xlfn.IFS(tbl_SaaS_Audit[[#This Row],[Risk_Level]]="CRITICAL RISK",tbl_SaaS_Audit[[#This Row],[Monthly_Revenue]]*12,TRUE,0)</f>
        <v>0</v>
      </c>
    </row>
    <row r="596" spans="1:16">
      <c r="A596" s="1">
        <v>595</v>
      </c>
      <c r="B596" s="1" t="s">
        <v>44</v>
      </c>
      <c r="C596" s="1" t="s">
        <v>13</v>
      </c>
      <c r="D596" s="2">
        <v>45706</v>
      </c>
      <c r="E596" s="1" t="s">
        <v>41</v>
      </c>
      <c r="F596" s="4">
        <v>3655.24</v>
      </c>
      <c r="G596" s="1" t="s">
        <v>33</v>
      </c>
      <c r="H596" s="1"/>
      <c r="I596" s="1">
        <v>17</v>
      </c>
      <c r="J596" s="1" t="s">
        <v>37</v>
      </c>
      <c r="K596" s="1" t="str">
        <f>_xlfn.TEXTBEFORE(tbl_SaaS_Audit[[#This Row],[region]],"-")</f>
        <v>MEA</v>
      </c>
      <c r="L596" s="8" t="str">
        <f>_xlfn.TEXTAFTER(tbl_SaaS_Audit[[#This Row],[region]],"-")</f>
        <v>EGY</v>
      </c>
      <c r="M596" s="8">
        <f t="shared" si="9"/>
        <v>19</v>
      </c>
      <c r="N596" s="4">
        <f>tbl_SaaS_Audit[[#This Row],[Tenure_Months]]*tbl_SaaS_Audit[[#This Row],[Monthly_Revenue]]</f>
        <v>69449.56</v>
      </c>
      <c r="O596" s="3" t="str" cm="1">
        <f t="array" ref="O596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96" s="4" cm="1">
        <f t="array" ref="P596">_xlfn.IFS(tbl_SaaS_Audit[[#This Row],[Risk_Level]]="CRITICAL RISK",tbl_SaaS_Audit[[#This Row],[Monthly_Revenue]]*12,TRUE,0)</f>
        <v>0</v>
      </c>
    </row>
    <row r="597" spans="1:16">
      <c r="A597" s="1">
        <v>596</v>
      </c>
      <c r="B597" s="1" t="s">
        <v>164</v>
      </c>
      <c r="C597" s="1" t="s">
        <v>14</v>
      </c>
      <c r="D597" s="2">
        <v>45333</v>
      </c>
      <c r="E597" s="1" t="s">
        <v>41</v>
      </c>
      <c r="F597" s="4">
        <v>10171.120000000001</v>
      </c>
      <c r="G597" s="1" t="s">
        <v>42</v>
      </c>
      <c r="H597" s="2">
        <v>46082</v>
      </c>
      <c r="I597" s="1">
        <v>5</v>
      </c>
      <c r="J597" s="1" t="s">
        <v>47</v>
      </c>
      <c r="K597" s="1" t="str">
        <f>_xlfn.TEXTBEFORE(tbl_SaaS_Audit[[#This Row],[region]],"-")</f>
        <v>NA</v>
      </c>
      <c r="L597" s="8" t="str">
        <f>_xlfn.TEXTAFTER(tbl_SaaS_Audit[[#This Row],[region]],"-")</f>
        <v>WEST</v>
      </c>
      <c r="M597" s="8">
        <f t="shared" si="9"/>
        <v>31</v>
      </c>
      <c r="N597" s="4">
        <f>tbl_SaaS_Audit[[#This Row],[Tenure_Months]]*tbl_SaaS_Audit[[#This Row],[Monthly_Revenue]]</f>
        <v>315304.72000000003</v>
      </c>
      <c r="O597" s="3" t="str" cm="1">
        <f t="array" ref="O597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597" s="4" cm="1">
        <f t="array" ref="P597">_xlfn.IFS(tbl_SaaS_Audit[[#This Row],[Risk_Level]]="CRITICAL RISK",tbl_SaaS_Audit[[#This Row],[Monthly_Revenue]]*12,TRUE,0)</f>
        <v>0</v>
      </c>
    </row>
    <row r="598" spans="1:16">
      <c r="A598" s="1">
        <v>597</v>
      </c>
      <c r="B598" s="1" t="s">
        <v>247</v>
      </c>
      <c r="C598" s="1" t="s">
        <v>13</v>
      </c>
      <c r="D598" s="2">
        <v>45470</v>
      </c>
      <c r="E598" s="1" t="s">
        <v>32</v>
      </c>
      <c r="F598" s="4">
        <v>4055.04</v>
      </c>
      <c r="G598" s="1" t="s">
        <v>36</v>
      </c>
      <c r="H598" s="2">
        <v>45975</v>
      </c>
      <c r="I598" s="1">
        <v>17</v>
      </c>
      <c r="J598" s="1" t="s">
        <v>34</v>
      </c>
      <c r="K598" s="1" t="str">
        <f>_xlfn.TEXTBEFORE(tbl_SaaS_Audit[[#This Row],[region]],"-")</f>
        <v>APAC</v>
      </c>
      <c r="L598" s="8" t="str">
        <f>_xlfn.TEXTAFTER(tbl_SaaS_Audit[[#This Row],[region]],"-")</f>
        <v>SGP</v>
      </c>
      <c r="M598" s="8">
        <f t="shared" si="9"/>
        <v>27</v>
      </c>
      <c r="N598" s="4">
        <f>tbl_SaaS_Audit[[#This Row],[Tenure_Months]]*tbl_SaaS_Audit[[#This Row],[Monthly_Revenue]]</f>
        <v>109486.08</v>
      </c>
      <c r="O598" s="3" t="str" cm="1">
        <f t="array" ref="O598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HEALTHY</v>
      </c>
      <c r="P598" s="4" cm="1">
        <f t="array" ref="P598">_xlfn.IFS(tbl_SaaS_Audit[[#This Row],[Risk_Level]]="CRITICAL RISK",tbl_SaaS_Audit[[#This Row],[Monthly_Revenue]]*12,TRUE,0)</f>
        <v>0</v>
      </c>
    </row>
    <row r="599" spans="1:16">
      <c r="A599" s="1">
        <v>598</v>
      </c>
      <c r="B599" s="1" t="s">
        <v>125</v>
      </c>
      <c r="C599" s="1" t="s">
        <v>14</v>
      </c>
      <c r="D599" s="2">
        <v>45455</v>
      </c>
      <c r="E599" s="1" t="s">
        <v>32</v>
      </c>
      <c r="F599" s="4">
        <v>4669.92</v>
      </c>
      <c r="G599" s="1" t="s">
        <v>42</v>
      </c>
      <c r="H599" s="2">
        <v>46052</v>
      </c>
      <c r="I599" s="1">
        <v>13</v>
      </c>
      <c r="J599" s="1" t="s">
        <v>47</v>
      </c>
      <c r="K599" s="1" t="str">
        <f>_xlfn.TEXTBEFORE(tbl_SaaS_Audit[[#This Row],[region]],"-")</f>
        <v>NA</v>
      </c>
      <c r="L599" s="8" t="str">
        <f>_xlfn.TEXTAFTER(tbl_SaaS_Audit[[#This Row],[region]],"-")</f>
        <v>WEST</v>
      </c>
      <c r="M599" s="8">
        <f t="shared" si="9"/>
        <v>27</v>
      </c>
      <c r="N599" s="4">
        <f>tbl_SaaS_Audit[[#This Row],[Tenure_Months]]*tbl_SaaS_Audit[[#This Row],[Monthly_Revenue]]</f>
        <v>126087.84</v>
      </c>
      <c r="O599" s="3" t="str" cm="1">
        <f t="array" ref="O599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CRITICAL RISK</v>
      </c>
      <c r="P599" s="4" cm="1">
        <f t="array" ref="P599">_xlfn.IFS(tbl_SaaS_Audit[[#This Row],[Risk_Level]]="CRITICAL RISK",tbl_SaaS_Audit[[#This Row],[Monthly_Revenue]]*12,TRUE,0)</f>
        <v>56039.040000000001</v>
      </c>
    </row>
    <row r="600" spans="1:16">
      <c r="A600" s="1">
        <v>599</v>
      </c>
      <c r="B600" s="1" t="s">
        <v>254</v>
      </c>
      <c r="C600" s="1" t="s">
        <v>13</v>
      </c>
      <c r="D600" s="2">
        <v>45641</v>
      </c>
      <c r="E600" s="1" t="s">
        <v>39</v>
      </c>
      <c r="F600" s="4">
        <v>14314.93</v>
      </c>
      <c r="G600" s="1" t="s">
        <v>33</v>
      </c>
      <c r="H600" s="2">
        <v>45906</v>
      </c>
      <c r="I600" s="1">
        <v>10</v>
      </c>
      <c r="J600" s="1" t="s">
        <v>45</v>
      </c>
      <c r="K600" s="1" t="str">
        <f>_xlfn.TEXTBEFORE(tbl_SaaS_Audit[[#This Row],[region]],"-")</f>
        <v>EU</v>
      </c>
      <c r="L600" s="8" t="str">
        <f>_xlfn.TEXTAFTER(tbl_SaaS_Audit[[#This Row],[region]],"-")</f>
        <v>CENTRAL</v>
      </c>
      <c r="M600" s="8">
        <f t="shared" si="9"/>
        <v>9</v>
      </c>
      <c r="N600" s="4">
        <f>tbl_SaaS_Audit[[#This Row],[Tenure_Months]]*tbl_SaaS_Audit[[#This Row],[Monthly_Revenue]]</f>
        <v>128834.37</v>
      </c>
      <c r="O600" s="3" t="str" cm="1">
        <f t="array" ref="O600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00" s="4" cm="1">
        <f t="array" ref="P600">_xlfn.IFS(tbl_SaaS_Audit[[#This Row],[Risk_Level]]="CRITICAL RISK",tbl_SaaS_Audit[[#This Row],[Monthly_Revenue]]*12,TRUE,0)</f>
        <v>0</v>
      </c>
    </row>
    <row r="601" spans="1:16">
      <c r="A601" s="1">
        <v>600</v>
      </c>
      <c r="B601" s="1" t="s">
        <v>331</v>
      </c>
      <c r="C601" s="1" t="s">
        <v>13</v>
      </c>
      <c r="D601" s="2">
        <v>45413</v>
      </c>
      <c r="E601" s="1" t="s">
        <v>39</v>
      </c>
      <c r="F601" s="4">
        <v>952.18</v>
      </c>
      <c r="G601" s="1" t="s">
        <v>49</v>
      </c>
      <c r="H601" s="1"/>
      <c r="I601" s="1">
        <v>4</v>
      </c>
      <c r="J601" s="1" t="s">
        <v>37</v>
      </c>
      <c r="K601" s="6" t="str">
        <f>_xlfn.TEXTBEFORE(tbl_SaaS_Audit[[#This Row],[region]],"-")</f>
        <v>MEA</v>
      </c>
      <c r="L601" s="9" t="str">
        <f>_xlfn.TEXTAFTER(tbl_SaaS_Audit[[#This Row],[region]],"-")</f>
        <v>EGY</v>
      </c>
      <c r="M601" s="8">
        <f t="shared" si="9"/>
        <v>28</v>
      </c>
      <c r="N601" s="4">
        <f>tbl_SaaS_Audit[[#This Row],[Tenure_Months]]*tbl_SaaS_Audit[[#This Row],[Monthly_Revenue]]</f>
        <v>26661.039999999997</v>
      </c>
      <c r="O601" s="11" t="str" cm="1">
        <f t="array" ref="O601">_xlfn.IFS(AND(tbl_SaaS_Audit[[#This Row],[Account_Status]]="At-Risk",tbl_SaaS_Audit[[#This Row],[Support_Tickets_30D]]&gt;10),"CRITICAL RISK",OR(AND(tbl_SaaS_Audit[[#This Row],[Support_Tickets_30D]]&gt;=5,tbl_SaaS_Audit[[#This Row],[Support_Tickets_30D]]&lt;=10),tbl_SaaS_Audit[[#This Row],[Account_Status]]="Pending Renewal"),"MODERATE RISK",TRUE,"HEALTHY")</f>
        <v>MODERATE RISK</v>
      </c>
      <c r="P601" s="13" cm="1">
        <f t="array" ref="P601">_xlfn.IFS(tbl_SaaS_Audit[[#This Row],[Risk_Level]]="CRITICAL RISK",tbl_SaaS_Audit[[#This Row],[Monthly_Revenue]]*12,TRUE,0)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6C0F-A928-4A82-B975-BB5881341EEF}">
  <dimension ref="A1:A69"/>
  <sheetViews>
    <sheetView workbookViewId="0">
      <selection activeCell="I45" sqref="I45"/>
    </sheetView>
  </sheetViews>
  <sheetFormatPr defaultRowHeight="15"/>
  <cols>
    <col min="1" max="16384" width="9.140625" style="27"/>
  </cols>
  <sheetData>
    <row r="1" spans="1:1">
      <c r="A1" s="27" t="s">
        <v>336</v>
      </c>
    </row>
    <row r="2" spans="1:1">
      <c r="A2" s="27" t="s">
        <v>337</v>
      </c>
    </row>
    <row r="3" spans="1:1">
      <c r="A3" s="27" t="s">
        <v>338</v>
      </c>
    </row>
    <row r="4" spans="1:1">
      <c r="A4" s="27" t="s">
        <v>339</v>
      </c>
    </row>
    <row r="5" spans="1:1">
      <c r="A5" s="27" t="s">
        <v>336</v>
      </c>
    </row>
    <row r="7" spans="1:1">
      <c r="A7" s="27" t="s">
        <v>340</v>
      </c>
    </row>
    <row r="8" spans="1:1">
      <c r="A8" s="27" t="s">
        <v>341</v>
      </c>
    </row>
    <row r="9" spans="1:1">
      <c r="A9" s="27" t="s">
        <v>342</v>
      </c>
    </row>
    <row r="10" spans="1:1">
      <c r="A10" s="27" t="s">
        <v>343</v>
      </c>
    </row>
    <row r="12" spans="1:1">
      <c r="A12" s="27" t="s">
        <v>344</v>
      </c>
    </row>
    <row r="13" spans="1:1">
      <c r="A13" s="27" t="s">
        <v>345</v>
      </c>
    </row>
    <row r="14" spans="1:1">
      <c r="A14" s="27" t="s">
        <v>346</v>
      </c>
    </row>
    <row r="15" spans="1:1">
      <c r="A15" s="27" t="s">
        <v>347</v>
      </c>
    </row>
    <row r="17" spans="1:1">
      <c r="A17" s="27" t="s">
        <v>348</v>
      </c>
    </row>
    <row r="18" spans="1:1">
      <c r="A18" s="27" t="s">
        <v>349</v>
      </c>
    </row>
    <row r="19" spans="1:1">
      <c r="A19" s="27" t="s">
        <v>350</v>
      </c>
    </row>
    <row r="20" spans="1:1">
      <c r="A20" s="27" t="s">
        <v>351</v>
      </c>
    </row>
    <row r="23" spans="1:1">
      <c r="A23" s="27" t="s">
        <v>352</v>
      </c>
    </row>
    <row r="24" spans="1:1">
      <c r="A24" s="27" t="s">
        <v>341</v>
      </c>
    </row>
    <row r="25" spans="1:1">
      <c r="A25" s="27" t="s">
        <v>353</v>
      </c>
    </row>
    <row r="27" spans="1:1">
      <c r="A27" s="27" t="s">
        <v>354</v>
      </c>
    </row>
    <row r="28" spans="1:1">
      <c r="A28" s="27" t="s">
        <v>355</v>
      </c>
    </row>
    <row r="29" spans="1:1">
      <c r="A29" s="27" t="s">
        <v>356</v>
      </c>
    </row>
    <row r="31" spans="1:1">
      <c r="A31" s="27" t="s">
        <v>357</v>
      </c>
    </row>
    <row r="32" spans="1:1">
      <c r="A32" s="27" t="s">
        <v>358</v>
      </c>
    </row>
    <row r="33" spans="1:1">
      <c r="A33" s="27" t="s">
        <v>359</v>
      </c>
    </row>
    <row r="34" spans="1:1">
      <c r="A34" s="27" t="s">
        <v>360</v>
      </c>
    </row>
    <row r="36" spans="1:1">
      <c r="A36" s="27" t="s">
        <v>361</v>
      </c>
    </row>
    <row r="37" spans="1:1">
      <c r="A37" s="27" t="s">
        <v>362</v>
      </c>
    </row>
    <row r="38" spans="1:1">
      <c r="A38" s="27" t="s">
        <v>363</v>
      </c>
    </row>
    <row r="39" spans="1:1">
      <c r="A39" s="27" t="s">
        <v>364</v>
      </c>
    </row>
    <row r="40" spans="1:1">
      <c r="A40" s="27" t="s">
        <v>365</v>
      </c>
    </row>
    <row r="42" spans="1:1">
      <c r="A42" s="27" t="s">
        <v>366</v>
      </c>
    </row>
    <row r="43" spans="1:1">
      <c r="A43" s="27" t="s">
        <v>367</v>
      </c>
    </row>
    <row r="44" spans="1:1">
      <c r="A44" s="27" t="s">
        <v>368</v>
      </c>
    </row>
    <row r="47" spans="1:1">
      <c r="A47" s="27" t="s">
        <v>369</v>
      </c>
    </row>
    <row r="48" spans="1:1">
      <c r="A48" s="27" t="s">
        <v>341</v>
      </c>
    </row>
    <row r="49" spans="1:1">
      <c r="A49" s="27" t="s">
        <v>370</v>
      </c>
    </row>
    <row r="50" spans="1:1">
      <c r="A50" s="27" t="s">
        <v>371</v>
      </c>
    </row>
    <row r="51" spans="1:1">
      <c r="A51" s="27" t="s">
        <v>372</v>
      </c>
    </row>
    <row r="52" spans="1:1">
      <c r="A52" s="27" t="s">
        <v>373</v>
      </c>
    </row>
    <row r="54" spans="1:1">
      <c r="A54" s="27" t="s">
        <v>374</v>
      </c>
    </row>
    <row r="55" spans="1:1">
      <c r="A55" s="27" t="s">
        <v>375</v>
      </c>
    </row>
    <row r="56" spans="1:1">
      <c r="A56" s="27" t="s">
        <v>376</v>
      </c>
    </row>
    <row r="58" spans="1:1">
      <c r="A58" s="27" t="s">
        <v>377</v>
      </c>
    </row>
    <row r="59" spans="1:1">
      <c r="A59" s="27" t="s">
        <v>378</v>
      </c>
    </row>
    <row r="60" spans="1:1">
      <c r="A60" s="27" t="s">
        <v>379</v>
      </c>
    </row>
    <row r="61" spans="1:1">
      <c r="A61" s="27" t="s">
        <v>380</v>
      </c>
    </row>
    <row r="64" spans="1:1">
      <c r="A64" s="27" t="s">
        <v>381</v>
      </c>
    </row>
    <row r="65" spans="1:1">
      <c r="A65" s="27" t="s">
        <v>341</v>
      </c>
    </row>
    <row r="66" spans="1:1">
      <c r="A66" s="27" t="s">
        <v>382</v>
      </c>
    </row>
    <row r="67" spans="1:1">
      <c r="A67" s="27" t="s">
        <v>383</v>
      </c>
    </row>
    <row r="68" spans="1:1">
      <c r="A68" s="27" t="s">
        <v>384</v>
      </c>
    </row>
    <row r="69" spans="1:1">
      <c r="A69" s="27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2026-09-25T16:20:49Z</dcterms:created>
  <dcterms:modified xsi:type="dcterms:W3CDTF">2026-09-25T21:11:51Z</dcterms:modified>
  <cp:category/>
  <cp:contentStatus/>
</cp:coreProperties>
</file>